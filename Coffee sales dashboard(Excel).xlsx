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esktop\Excel practice dataset\"/>
    </mc:Choice>
  </mc:AlternateContent>
  <xr:revisionPtr revIDLastSave="0" documentId="13_ncr:1_{BB20ABA2-2C87-4045-BE4C-60A89C0FE66E}" xr6:coauthVersionLast="47" xr6:coauthVersionMax="47" xr10:uidLastSave="{00000000-0000-0000-0000-000000000000}"/>
  <bookViews>
    <workbookView xWindow="-110" yWindow="-110" windowWidth="19420" windowHeight="10300" activeTab="3" xr2:uid="{00000000-000D-0000-FFFF-FFFF00000000}"/>
  </bookViews>
  <sheets>
    <sheet name="Total sales" sheetId="18" r:id="rId1"/>
    <sheet name="Country bar chart" sheetId="19"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69" i="17" a="1"/>
  <c r="O469" i="17" s="1"/>
  <c r="O831" i="17" a="1"/>
  <c r="O831" i="17" s="1"/>
  <c r="O885" i="17" a="1"/>
  <c r="O885" i="17" s="1"/>
  <c r="O977" i="17" a="1"/>
  <c r="O977" i="17" s="1"/>
  <c r="N19" i="17" a="1"/>
  <c r="N19" i="17" s="1"/>
  <c r="N129" i="17" a="1"/>
  <c r="N129" i="17" s="1"/>
  <c r="N173" i="17" a="1"/>
  <c r="N173" i="17" s="1"/>
  <c r="N210" i="17"/>
  <c r="N267" i="17" a="1"/>
  <c r="N267" i="17" s="1"/>
  <c r="N309" i="17" a="1"/>
  <c r="N309" i="17" s="1"/>
  <c r="N335" i="17"/>
  <c r="N363" i="17" a="1"/>
  <c r="N363" i="17" s="1"/>
  <c r="N387" i="17" a="1"/>
  <c r="N387" i="17" s="1"/>
  <c r="N427" i="17"/>
  <c r="N428" i="17" a="1"/>
  <c r="N428" i="17" s="1"/>
  <c r="N457" i="17" a="1"/>
  <c r="N457" i="17" s="1"/>
  <c r="N463" i="17"/>
  <c r="N465" i="17" a="1"/>
  <c r="N465" i="17" s="1"/>
  <c r="N501" i="17" a="1"/>
  <c r="N501" i="17" s="1"/>
  <c r="N502" i="17" a="1"/>
  <c r="N502" i="17" s="1"/>
  <c r="N523" i="17" a="1"/>
  <c r="N523" i="17" s="1"/>
  <c r="N533" i="17" a="1"/>
  <c r="N533" i="17" s="1"/>
  <c r="N539" i="17" a="1"/>
  <c r="N539" i="17" s="1"/>
  <c r="N571" i="17" a="1"/>
  <c r="N571" i="17" s="1"/>
  <c r="N577" i="17" a="1"/>
  <c r="N577" i="17" s="1"/>
  <c r="N611" i="17" a="1"/>
  <c r="N611" i="17" s="1"/>
  <c r="N612" i="17" a="1"/>
  <c r="N612" i="17" s="1"/>
  <c r="N647" i="17" a="1"/>
  <c r="N647" i="17" s="1"/>
  <c r="N648" i="17" a="1"/>
  <c r="N648" i="17" s="1"/>
  <c r="N701" i="17"/>
  <c r="N729" i="17" a="1"/>
  <c r="N729" i="17" s="1"/>
  <c r="N731" i="17" a="1"/>
  <c r="N731" i="17" s="1"/>
  <c r="N737" i="17" a="1"/>
  <c r="N737" i="17" s="1"/>
  <c r="N761" i="17" a="1"/>
  <c r="N761" i="17" s="1"/>
  <c r="N799" i="17" a="1"/>
  <c r="N799" i="17" s="1"/>
  <c r="N823" i="17" a="1"/>
  <c r="N823" i="17" s="1"/>
  <c r="N833" i="17" a="1"/>
  <c r="N833" i="17" s="1"/>
  <c r="N849" i="17" a="1"/>
  <c r="N849" i="17" s="1"/>
  <c r="N859" i="17" a="1"/>
  <c r="N859" i="17" s="1"/>
  <c r="N865" i="17" a="1"/>
  <c r="N865" i="17" s="1"/>
  <c r="N885" i="17" a="1"/>
  <c r="N885" i="17" s="1"/>
  <c r="N907" i="17" a="1"/>
  <c r="N907" i="17" s="1"/>
  <c r="N927" i="17" a="1"/>
  <c r="N927" i="17" s="1"/>
  <c r="N945" i="17" a="1"/>
  <c r="N945" i="17" s="1"/>
  <c r="N965" i="17" a="1"/>
  <c r="N965" i="17" s="1"/>
  <c r="N968" i="17"/>
  <c r="N989" i="17" a="1"/>
  <c r="N989" i="17" s="1"/>
  <c r="I2" i="17"/>
  <c r="N2" i="17" s="1" a="1"/>
  <c r="N2" i="17" s="1"/>
  <c r="M8" i="17"/>
  <c r="M18" i="17"/>
  <c r="M20" i="17"/>
  <c r="M27" i="17"/>
  <c r="M28" i="17"/>
  <c r="M38" i="17"/>
  <c r="M46" i="17"/>
  <c r="M56" i="17"/>
  <c r="M64" i="17"/>
  <c r="M65" i="17"/>
  <c r="M74" i="17"/>
  <c r="M81" i="17"/>
  <c r="M83" i="17"/>
  <c r="M92" i="17"/>
  <c r="M100" i="17"/>
  <c r="M101" i="17"/>
  <c r="M110" i="17"/>
  <c r="M118" i="17"/>
  <c r="M120" i="17"/>
  <c r="M136" i="17"/>
  <c r="M137" i="17"/>
  <c r="M138" i="17"/>
  <c r="M155" i="17"/>
  <c r="M156" i="17"/>
  <c r="M172" i="17"/>
  <c r="M173" i="17"/>
  <c r="M174" i="17"/>
  <c r="M192" i="17"/>
  <c r="M193" i="17"/>
  <c r="M209" i="17"/>
  <c r="M210" i="17"/>
  <c r="M211" i="17"/>
  <c r="M228" i="17"/>
  <c r="M229" i="17"/>
  <c r="M240" i="17"/>
  <c r="M245" i="17"/>
  <c r="M246" i="17"/>
  <c r="M264" i="17"/>
  <c r="M265" i="17"/>
  <c r="M276" i="17"/>
  <c r="M282" i="17"/>
  <c r="M283" i="17"/>
  <c r="M300" i="17"/>
  <c r="M301" i="17"/>
  <c r="M312" i="17"/>
  <c r="M318" i="17"/>
  <c r="M320" i="17"/>
  <c r="M321" i="17"/>
  <c r="M337" i="17"/>
  <c r="M338" i="17"/>
  <c r="M348" i="17"/>
  <c r="M355" i="17"/>
  <c r="M356" i="17"/>
  <c r="M357" i="17"/>
  <c r="M368" i="17"/>
  <c r="M373" i="17"/>
  <c r="M376" i="17"/>
  <c r="M386" i="17"/>
  <c r="M392" i="17"/>
  <c r="M393" i="17"/>
  <c r="M404" i="17"/>
  <c r="M410" i="17"/>
  <c r="M412" i="17"/>
  <c r="M422" i="17"/>
  <c r="M428" i="17"/>
  <c r="M429" i="17"/>
  <c r="M440" i="17"/>
  <c r="M446" i="17"/>
  <c r="M449" i="17"/>
  <c r="M458" i="17"/>
  <c r="M465" i="17"/>
  <c r="M476" i="17"/>
  <c r="M483" i="17"/>
  <c r="M485" i="17"/>
  <c r="M494" i="17"/>
  <c r="M496" i="17"/>
  <c r="M501" i="17"/>
  <c r="M503" i="17"/>
  <c r="M512" i="17"/>
  <c r="M518" i="17"/>
  <c r="M519" i="17"/>
  <c r="M528" i="17"/>
  <c r="M533" i="17"/>
  <c r="M535" i="17"/>
  <c r="M544" i="17"/>
  <c r="M550" i="17"/>
  <c r="M551" i="17"/>
  <c r="M560" i="17"/>
  <c r="M565" i="17"/>
  <c r="M567" i="17"/>
  <c r="M576" i="17"/>
  <c r="M582" i="17"/>
  <c r="M583" i="17"/>
  <c r="M592" i="17"/>
  <c r="M597" i="17"/>
  <c r="M599" i="17"/>
  <c r="M608" i="17"/>
  <c r="M614" i="17"/>
  <c r="M615" i="17"/>
  <c r="M624" i="17"/>
  <c r="M629" i="17"/>
  <c r="M631" i="17"/>
  <c r="M640" i="17"/>
  <c r="M646" i="17"/>
  <c r="M647" i="17"/>
  <c r="M661" i="17"/>
  <c r="M663" i="17"/>
  <c r="M672" i="17"/>
  <c r="M678" i="17"/>
  <c r="M679" i="17"/>
  <c r="M693" i="17"/>
  <c r="M695" i="17"/>
  <c r="M704" i="17"/>
  <c r="M710" i="17"/>
  <c r="M711" i="17"/>
  <c r="M725" i="17"/>
  <c r="M727" i="17"/>
  <c r="M736" i="17"/>
  <c r="M742" i="17"/>
  <c r="M743" i="17"/>
  <c r="M757" i="17"/>
  <c r="M759" i="17"/>
  <c r="M768" i="17"/>
  <c r="M774" i="17"/>
  <c r="M775" i="17"/>
  <c r="M789" i="17"/>
  <c r="M791" i="17"/>
  <c r="M800" i="17"/>
  <c r="M806" i="17"/>
  <c r="M807" i="17"/>
  <c r="M823" i="17"/>
  <c r="M832" i="17"/>
  <c r="M838" i="17"/>
  <c r="M839" i="17"/>
  <c r="M855" i="17"/>
  <c r="M864" i="17"/>
  <c r="M870" i="17"/>
  <c r="M871" i="17"/>
  <c r="M885" i="17"/>
  <c r="M892" i="17"/>
  <c r="M895" i="17"/>
  <c r="M896" i="17"/>
  <c r="M918" i="17"/>
  <c r="M920" i="17"/>
  <c r="M924" i="17"/>
  <c r="M935" i="17"/>
  <c r="M944" i="17"/>
  <c r="M948" i="17"/>
  <c r="M949" i="17"/>
  <c r="M959" i="17"/>
  <c r="M960" i="17"/>
  <c r="M972" i="17"/>
  <c r="M973" i="17"/>
  <c r="M988" i="17"/>
  <c r="M996" i="17"/>
  <c r="M997" i="17"/>
  <c r="I12" i="17"/>
  <c r="N12" i="17" s="1" a="1"/>
  <c r="N12" i="17" s="1"/>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I19" i="17"/>
  <c r="J19" i="17"/>
  <c r="O19" i="17" s="1" a="1"/>
  <c r="O19" i="17" s="1"/>
  <c r="K19" i="17"/>
  <c r="L19" i="17"/>
  <c r="M19" i="17" s="1"/>
  <c r="I20" i="17"/>
  <c r="N20" i="17" s="1" a="1"/>
  <c r="N20" i="17" s="1"/>
  <c r="J20" i="17"/>
  <c r="O20" i="17" s="1" a="1"/>
  <c r="O20" i="17" s="1"/>
  <c r="K20" i="17"/>
  <c r="L20" i="17"/>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I28" i="17"/>
  <c r="N28" i="17" s="1" a="1"/>
  <c r="N28" i="17" s="1"/>
  <c r="J28" i="17"/>
  <c r="O28" i="17" s="1" a="1"/>
  <c r="O28" i="17" s="1"/>
  <c r="K28" i="17"/>
  <c r="L28" i="17"/>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I65" i="17"/>
  <c r="N65" i="17" s="1" a="1"/>
  <c r="N65" i="17" s="1"/>
  <c r="J65" i="17"/>
  <c r="O65" i="17" s="1" a="1"/>
  <c r="O65" i="17" s="1"/>
  <c r="K65" i="17"/>
  <c r="L65" i="17"/>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I82" i="17"/>
  <c r="N82" i="17" s="1" a="1"/>
  <c r="N82" i="17" s="1"/>
  <c r="J82" i="17"/>
  <c r="O82" i="17" s="1" a="1"/>
  <c r="O82" i="17" s="1"/>
  <c r="K82" i="17"/>
  <c r="L82" i="17"/>
  <c r="M82" i="17" s="1"/>
  <c r="I83" i="17"/>
  <c r="N83" i="17" s="1" a="1"/>
  <c r="N83" i="17" s="1"/>
  <c r="J83" i="17"/>
  <c r="O83" i="17" s="1" a="1"/>
  <c r="O83" i="17" s="1"/>
  <c r="K83" i="17"/>
  <c r="L83" i="17"/>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I101" i="17"/>
  <c r="N101" i="17" s="1" a="1"/>
  <c r="N101" i="17" s="1"/>
  <c r="J101" i="17"/>
  <c r="O101" i="17" s="1" a="1"/>
  <c r="O101" i="17" s="1"/>
  <c r="K101" i="17"/>
  <c r="L101" i="17"/>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I119" i="17"/>
  <c r="N119" i="17" s="1" a="1"/>
  <c r="N119" i="17" s="1"/>
  <c r="J119" i="17"/>
  <c r="O119" i="17" s="1" a="1"/>
  <c r="O119" i="17" s="1"/>
  <c r="K119" i="17"/>
  <c r="L119" i="17"/>
  <c r="M119" i="17" s="1"/>
  <c r="I120" i="17"/>
  <c r="N120" i="17" s="1" a="1"/>
  <c r="N120" i="17" s="1"/>
  <c r="J120" i="17"/>
  <c r="O120" i="17" s="1" a="1"/>
  <c r="O120" i="17" s="1"/>
  <c r="K120" i="17"/>
  <c r="L120" i="17"/>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I137" i="17"/>
  <c r="N137" i="17" s="1" a="1"/>
  <c r="N137" i="17" s="1"/>
  <c r="J137" i="17"/>
  <c r="O137" i="17" s="1" a="1"/>
  <c r="O137" i="17" s="1"/>
  <c r="K137" i="17"/>
  <c r="L137" i="17"/>
  <c r="I138" i="17"/>
  <c r="N138" i="17" s="1" a="1"/>
  <c r="N138" i="17" s="1"/>
  <c r="J138" i="17"/>
  <c r="O138" i="17" s="1" a="1"/>
  <c r="O138" i="17" s="1"/>
  <c r="K138" i="17"/>
  <c r="L138" i="17"/>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I156" i="17"/>
  <c r="N156" i="17" s="1" a="1"/>
  <c r="N156" i="17" s="1"/>
  <c r="J156" i="17"/>
  <c r="O156" i="17" s="1" a="1"/>
  <c r="O156" i="17" s="1"/>
  <c r="K156" i="17"/>
  <c r="L156" i="17"/>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I173" i="17"/>
  <c r="J173" i="17"/>
  <c r="O173" i="17" s="1" a="1"/>
  <c r="O173" i="17" s="1"/>
  <c r="K173" i="17"/>
  <c r="L173" i="17"/>
  <c r="I174" i="17"/>
  <c r="N174" i="17" s="1" a="1"/>
  <c r="N174" i="17" s="1"/>
  <c r="J174" i="17"/>
  <c r="O174" i="17" s="1" a="1"/>
  <c r="O174" i="17" s="1"/>
  <c r="K174" i="17"/>
  <c r="L174" i="17"/>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I193" i="17"/>
  <c r="N193" i="17" s="1" a="1"/>
  <c r="N193" i="17" s="1"/>
  <c r="J193" i="17"/>
  <c r="O193" i="17" s="1" a="1"/>
  <c r="O193" i="17" s="1"/>
  <c r="K193" i="17"/>
  <c r="L193" i="17"/>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I210" i="17"/>
  <c r="N210" i="17" s="1" a="1"/>
  <c r="J210" i="17"/>
  <c r="O210" i="17" s="1" a="1"/>
  <c r="O210" i="17" s="1"/>
  <c r="K210" i="17"/>
  <c r="L210" i="17"/>
  <c r="I211" i="17"/>
  <c r="N211" i="17" s="1" a="1"/>
  <c r="N211" i="17" s="1"/>
  <c r="J211" i="17"/>
  <c r="O211" i="17" s="1" a="1"/>
  <c r="O211" i="17" s="1"/>
  <c r="K211" i="17"/>
  <c r="L211" i="17"/>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I229" i="17"/>
  <c r="N229" i="17" s="1" a="1"/>
  <c r="N229" i="17" s="1"/>
  <c r="J229" i="17"/>
  <c r="O229" i="17" s="1" a="1"/>
  <c r="O229" i="17" s="1"/>
  <c r="K229" i="17"/>
  <c r="L229" i="17"/>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I246" i="17"/>
  <c r="N246" i="17" s="1" a="1"/>
  <c r="N246" i="17" s="1"/>
  <c r="J246" i="17"/>
  <c r="O246" i="17" s="1" a="1"/>
  <c r="O246" i="17" s="1"/>
  <c r="K246" i="17"/>
  <c r="L246" i="17"/>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I265" i="17"/>
  <c r="N265" i="17" s="1" a="1"/>
  <c r="N265" i="17" s="1"/>
  <c r="J265" i="17"/>
  <c r="O265" i="17" s="1" a="1"/>
  <c r="O265" i="17" s="1"/>
  <c r="K265" i="17"/>
  <c r="L265" i="17"/>
  <c r="I266" i="17"/>
  <c r="N266" i="17" s="1" a="1"/>
  <c r="N266" i="17" s="1"/>
  <c r="J266" i="17"/>
  <c r="O266" i="17" s="1" a="1"/>
  <c r="O266" i="17" s="1"/>
  <c r="K266" i="17"/>
  <c r="L266" i="17"/>
  <c r="M266" i="17" s="1"/>
  <c r="I267" i="17"/>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I283" i="17"/>
  <c r="N283" i="17" s="1" a="1"/>
  <c r="N283" i="17" s="1"/>
  <c r="J283" i="17"/>
  <c r="O283" i="17" s="1" a="1"/>
  <c r="O283" i="17" s="1"/>
  <c r="K283" i="17"/>
  <c r="L283" i="17"/>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I301" i="17"/>
  <c r="N301" i="17" s="1" a="1"/>
  <c r="N301" i="17" s="1"/>
  <c r="J301" i="17"/>
  <c r="O301" i="17" s="1" a="1"/>
  <c r="O301" i="17" s="1"/>
  <c r="K301" i="17"/>
  <c r="L301" i="17"/>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I319" i="17"/>
  <c r="N319" i="17" s="1" a="1"/>
  <c r="N319" i="17" s="1"/>
  <c r="J319" i="17"/>
  <c r="O319" i="17" s="1" a="1"/>
  <c r="O319" i="17" s="1"/>
  <c r="K319" i="17"/>
  <c r="L319" i="17"/>
  <c r="M319" i="17" s="1"/>
  <c r="I320" i="17"/>
  <c r="N320" i="17" s="1" a="1"/>
  <c r="N320" i="17" s="1"/>
  <c r="J320" i="17"/>
  <c r="O320" i="17" s="1" a="1"/>
  <c r="O320" i="17" s="1"/>
  <c r="K320" i="17"/>
  <c r="L320" i="17"/>
  <c r="I321" i="17"/>
  <c r="N321" i="17" s="1" a="1"/>
  <c r="N321" i="17" s="1"/>
  <c r="J321" i="17"/>
  <c r="O321" i="17" s="1" a="1"/>
  <c r="O321" i="17" s="1"/>
  <c r="K321" i="17"/>
  <c r="L321" i="17"/>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I338" i="17"/>
  <c r="N338" i="17" s="1" a="1"/>
  <c r="N338" i="17" s="1"/>
  <c r="J338" i="17"/>
  <c r="O338" i="17" s="1" a="1"/>
  <c r="O338" i="17" s="1"/>
  <c r="K338" i="17"/>
  <c r="L338" i="17"/>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I356" i="17"/>
  <c r="N356" i="17" s="1" a="1"/>
  <c r="N356" i="17" s="1"/>
  <c r="J356" i="17"/>
  <c r="O356" i="17" s="1" a="1"/>
  <c r="O356" i="17" s="1"/>
  <c r="K356" i="17"/>
  <c r="L356" i="17"/>
  <c r="I357" i="17"/>
  <c r="N357" i="17" s="1" a="1"/>
  <c r="N357" i="17" s="1"/>
  <c r="J357" i="17"/>
  <c r="O357" i="17" s="1" a="1"/>
  <c r="O357" i="17" s="1"/>
  <c r="K357" i="17"/>
  <c r="L357" i="17"/>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I387" i="17"/>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I393" i="17"/>
  <c r="N393" i="17" s="1" a="1"/>
  <c r="N393" i="17" s="1"/>
  <c r="J393" i="17"/>
  <c r="O393" i="17" s="1" a="1"/>
  <c r="O393" i="17" s="1"/>
  <c r="K393" i="17"/>
  <c r="L393" i="17"/>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I411" i="17"/>
  <c r="N411" i="17" s="1" a="1"/>
  <c r="N411" i="17" s="1"/>
  <c r="J411" i="17"/>
  <c r="O411" i="17" s="1" a="1"/>
  <c r="O411" i="17" s="1"/>
  <c r="K411" i="17"/>
  <c r="L411" i="17"/>
  <c r="M411" i="17" s="1"/>
  <c r="I412" i="17"/>
  <c r="N412" i="17" s="1" a="1"/>
  <c r="N412" i="17" s="1"/>
  <c r="J412" i="17"/>
  <c r="O412" i="17" s="1" a="1"/>
  <c r="O412" i="17" s="1"/>
  <c r="K412" i="17"/>
  <c r="L412" i="17"/>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J427" i="17"/>
  <c r="O427" i="17" s="1" a="1"/>
  <c r="O427" i="17" s="1"/>
  <c r="K427" i="17"/>
  <c r="L427" i="17"/>
  <c r="M427" i="17" s="1"/>
  <c r="I428" i="17"/>
  <c r="J428" i="17"/>
  <c r="O428" i="17" s="1" a="1"/>
  <c r="O428" i="17" s="1"/>
  <c r="K428" i="17"/>
  <c r="L428" i="17"/>
  <c r="I429" i="17"/>
  <c r="N429" i="17" s="1" a="1"/>
  <c r="N429" i="17" s="1"/>
  <c r="J429" i="17"/>
  <c r="O429" i="17" s="1" a="1"/>
  <c r="O429" i="17" s="1"/>
  <c r="K429" i="17"/>
  <c r="L429" i="17"/>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J457" i="17"/>
  <c r="O457" i="17" s="1" a="1"/>
  <c r="O457" i="17" s="1"/>
  <c r="K457" i="17"/>
  <c r="L457" i="17"/>
  <c r="M457" i="17" s="1"/>
  <c r="I458" i="17"/>
  <c r="N458" i="17" s="1" a="1"/>
  <c r="N458" i="17" s="1"/>
  <c r="J458" i="17"/>
  <c r="O458" i="17" s="1" a="1"/>
  <c r="O458" i="17" s="1"/>
  <c r="K458" i="17"/>
  <c r="L458" i="17"/>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J463" i="17"/>
  <c r="O463" i="17" s="1" a="1"/>
  <c r="O463" i="17" s="1"/>
  <c r="K463" i="17"/>
  <c r="L463" i="17"/>
  <c r="M463" i="17" s="1"/>
  <c r="I464" i="17"/>
  <c r="N464" i="17" s="1" a="1"/>
  <c r="N464" i="17" s="1"/>
  <c r="J464" i="17"/>
  <c r="O464" i="17" s="1" a="1"/>
  <c r="O464" i="17" s="1"/>
  <c r="K464" i="17"/>
  <c r="L464" i="17"/>
  <c r="M464" i="17" s="1"/>
  <c r="I465" i="17"/>
  <c r="J465" i="17"/>
  <c r="O465" i="17" s="1" a="1"/>
  <c r="O465" i="17" s="1"/>
  <c r="K465" i="17"/>
  <c r="L465" i="17"/>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I484" i="17"/>
  <c r="N484" i="17" s="1" a="1"/>
  <c r="N484" i="17" s="1"/>
  <c r="J484" i="17"/>
  <c r="O484" i="17" s="1" a="1"/>
  <c r="O484" i="17" s="1"/>
  <c r="K484" i="17"/>
  <c r="L484" i="17"/>
  <c r="M484" i="17" s="1"/>
  <c r="I485" i="17"/>
  <c r="N485" i="17" s="1" a="1"/>
  <c r="N485" i="17" s="1"/>
  <c r="J485" i="17"/>
  <c r="O485" i="17" s="1" a="1"/>
  <c r="O485" i="17" s="1"/>
  <c r="K485" i="17"/>
  <c r="L485" i="17"/>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I495" i="17"/>
  <c r="N495" i="17" s="1" a="1"/>
  <c r="N495" i="17" s="1"/>
  <c r="J495" i="17"/>
  <c r="O495" i="17" s="1" a="1"/>
  <c r="O495" i="17" s="1"/>
  <c r="K495" i="17"/>
  <c r="L495" i="17"/>
  <c r="M495" i="17" s="1"/>
  <c r="I496" i="17"/>
  <c r="N496" i="17" s="1" a="1"/>
  <c r="N496" i="17" s="1"/>
  <c r="J496" i="17"/>
  <c r="O496" i="17" s="1" a="1"/>
  <c r="O496" i="17" s="1"/>
  <c r="K496" i="17"/>
  <c r="L496" i="17"/>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J501" i="17"/>
  <c r="O501" i="17" s="1" a="1"/>
  <c r="O501" i="17" s="1"/>
  <c r="K501" i="17"/>
  <c r="L501" i="17"/>
  <c r="I502" i="17"/>
  <c r="J502" i="17"/>
  <c r="O502" i="17" s="1" a="1"/>
  <c r="O502" i="17" s="1"/>
  <c r="K502" i="17"/>
  <c r="L502" i="17"/>
  <c r="M502" i="17" s="1"/>
  <c r="I503" i="17"/>
  <c r="N503" i="17" s="1" a="1"/>
  <c r="N503" i="17" s="1"/>
  <c r="J503" i="17"/>
  <c r="O503" i="17" s="1" a="1"/>
  <c r="O503" i="17" s="1"/>
  <c r="K503" i="17"/>
  <c r="L503" i="17"/>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I519" i="17"/>
  <c r="N519" i="17" s="1" a="1"/>
  <c r="N519" i="17" s="1"/>
  <c r="J519" i="17"/>
  <c r="O519" i="17" s="1" a="1"/>
  <c r="O519" i="17" s="1"/>
  <c r="K519" i="17"/>
  <c r="L519" i="17"/>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J533" i="17"/>
  <c r="O533" i="17" s="1" a="1"/>
  <c r="O533" i="17" s="1"/>
  <c r="K533" i="17"/>
  <c r="L533" i="17"/>
  <c r="I534" i="17"/>
  <c r="N534" i="17" s="1" a="1"/>
  <c r="N534" i="17" s="1"/>
  <c r="J534" i="17"/>
  <c r="O534" i="17" s="1" a="1"/>
  <c r="O534" i="17" s="1"/>
  <c r="K534" i="17"/>
  <c r="L534" i="17"/>
  <c r="M534" i="17" s="1"/>
  <c r="I535" i="17"/>
  <c r="N535" i="17" s="1" a="1"/>
  <c r="N535" i="17" s="1"/>
  <c r="J535" i="17"/>
  <c r="O535" i="17" s="1" a="1"/>
  <c r="O535" i="17" s="1"/>
  <c r="K535" i="17"/>
  <c r="L535" i="17"/>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I551" i="17"/>
  <c r="N551" i="17" s="1" a="1"/>
  <c r="N551" i="17" s="1"/>
  <c r="J551" i="17"/>
  <c r="O551" i="17" s="1" a="1"/>
  <c r="O551" i="17" s="1"/>
  <c r="K551" i="17"/>
  <c r="L551" i="17"/>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I566" i="17"/>
  <c r="N566" i="17" s="1" a="1"/>
  <c r="N566" i="17" s="1"/>
  <c r="J566" i="17"/>
  <c r="O566" i="17" s="1" a="1"/>
  <c r="O566" i="17" s="1"/>
  <c r="K566" i="17"/>
  <c r="L566" i="17"/>
  <c r="M566" i="17" s="1"/>
  <c r="I567" i="17"/>
  <c r="N567" i="17" s="1" a="1"/>
  <c r="N567" i="17" s="1"/>
  <c r="J567" i="17"/>
  <c r="O567" i="17" s="1" a="1"/>
  <c r="O567" i="17" s="1"/>
  <c r="K567" i="17"/>
  <c r="L567" i="17"/>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I577" i="17"/>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I583" i="17"/>
  <c r="N583" i="17" s="1" a="1"/>
  <c r="N583" i="17" s="1"/>
  <c r="J583" i="17"/>
  <c r="O583" i="17" s="1" a="1"/>
  <c r="O583" i="17" s="1"/>
  <c r="K583" i="17"/>
  <c r="L583" i="17"/>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I598" i="17"/>
  <c r="N598" i="17" s="1" a="1"/>
  <c r="N598" i="17" s="1"/>
  <c r="J598" i="17"/>
  <c r="O598" i="17" s="1" a="1"/>
  <c r="O598" i="17" s="1"/>
  <c r="K598" i="17"/>
  <c r="L598" i="17"/>
  <c r="M598" i="17" s="1"/>
  <c r="I599" i="17"/>
  <c r="N599" i="17" s="1" a="1"/>
  <c r="N599" i="17" s="1"/>
  <c r="J599" i="17"/>
  <c r="O599" i="17" s="1" a="1"/>
  <c r="O599" i="17" s="1"/>
  <c r="K599" i="17"/>
  <c r="L599" i="17"/>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I609" i="17"/>
  <c r="N609" i="17" s="1" a="1"/>
  <c r="N609" i="17" s="1"/>
  <c r="J609" i="17"/>
  <c r="O609" i="17" s="1" a="1"/>
  <c r="O609" i="17" s="1"/>
  <c r="K609" i="17"/>
  <c r="L609" i="17"/>
  <c r="M609" i="17" s="1"/>
  <c r="I610" i="17"/>
  <c r="N610" i="17" s="1" a="1"/>
  <c r="N610" i="17" s="1"/>
  <c r="J610" i="17"/>
  <c r="O610" i="17" s="1" a="1"/>
  <c r="O610" i="17" s="1"/>
  <c r="K610" i="17"/>
  <c r="L610" i="17"/>
  <c r="M610" i="17" s="1"/>
  <c r="I611" i="17"/>
  <c r="J611" i="17"/>
  <c r="O611" i="17" s="1" a="1"/>
  <c r="O611" i="17" s="1"/>
  <c r="K611" i="17"/>
  <c r="L611" i="17"/>
  <c r="M611" i="17" s="1"/>
  <c r="I612" i="17"/>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I615" i="17"/>
  <c r="N615" i="17" s="1" a="1"/>
  <c r="N615" i="17" s="1"/>
  <c r="J615" i="17"/>
  <c r="O615" i="17" s="1" a="1"/>
  <c r="O615" i="17" s="1"/>
  <c r="K615" i="17"/>
  <c r="L615" i="17"/>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I630" i="17"/>
  <c r="N630" i="17" s="1" a="1"/>
  <c r="N630" i="17" s="1"/>
  <c r="J630" i="17"/>
  <c r="O630" i="17" s="1" a="1"/>
  <c r="O630" i="17" s="1"/>
  <c r="K630" i="17"/>
  <c r="L630" i="17"/>
  <c r="M630" i="17" s="1"/>
  <c r="I631" i="17"/>
  <c r="N631" i="17" s="1" a="1"/>
  <c r="N631" i="17" s="1"/>
  <c r="J631" i="17"/>
  <c r="O631" i="17" s="1" a="1"/>
  <c r="O631" i="17" s="1"/>
  <c r="K631" i="17"/>
  <c r="L631" i="17"/>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I647" i="17"/>
  <c r="J647" i="17"/>
  <c r="O647" i="17" s="1" a="1"/>
  <c r="O647" i="17" s="1"/>
  <c r="K647" i="17"/>
  <c r="L647" i="17"/>
  <c r="I648" i="17"/>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I662" i="17"/>
  <c r="N662" i="17" s="1" a="1"/>
  <c r="N662" i="17" s="1"/>
  <c r="J662" i="17"/>
  <c r="O662" i="17" s="1" a="1"/>
  <c r="O662" i="17" s="1"/>
  <c r="K662" i="17"/>
  <c r="L662" i="17"/>
  <c r="M662" i="17" s="1"/>
  <c r="I663" i="17"/>
  <c r="N663" i="17" s="1" a="1"/>
  <c r="N663" i="17" s="1"/>
  <c r="J663" i="17"/>
  <c r="O663" i="17" s="1" a="1"/>
  <c r="O663" i="17" s="1"/>
  <c r="K663" i="17"/>
  <c r="L663" i="17"/>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I679" i="17"/>
  <c r="N679" i="17" s="1" a="1"/>
  <c r="N679" i="17" s="1"/>
  <c r="J679" i="17"/>
  <c r="O679" i="17" s="1" a="1"/>
  <c r="O679" i="17" s="1"/>
  <c r="K679" i="17"/>
  <c r="L679" i="17"/>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I694" i="17"/>
  <c r="N694" i="17" s="1" a="1"/>
  <c r="N694" i="17" s="1"/>
  <c r="J694" i="17"/>
  <c r="O694" i="17" s="1" a="1"/>
  <c r="O694" i="17" s="1"/>
  <c r="K694" i="17"/>
  <c r="L694" i="17"/>
  <c r="M694" i="17" s="1"/>
  <c r="I695" i="17"/>
  <c r="N695" i="17" s="1" a="1"/>
  <c r="N695" i="17" s="1"/>
  <c r="J695" i="17"/>
  <c r="O695" i="17" s="1" a="1"/>
  <c r="O695" i="17" s="1"/>
  <c r="K695" i="17"/>
  <c r="L695" i="17"/>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I711" i="17"/>
  <c r="N711" i="17" s="1" a="1"/>
  <c r="N711" i="17" s="1"/>
  <c r="J711" i="17"/>
  <c r="O711" i="17" s="1" a="1"/>
  <c r="O711" i="17" s="1"/>
  <c r="K711" i="17"/>
  <c r="L711" i="17"/>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I726" i="17"/>
  <c r="N726" i="17" s="1" a="1"/>
  <c r="N726" i="17" s="1"/>
  <c r="J726" i="17"/>
  <c r="O726" i="17" s="1" a="1"/>
  <c r="O726" i="17" s="1"/>
  <c r="K726" i="17"/>
  <c r="L726" i="17"/>
  <c r="M726" i="17" s="1"/>
  <c r="I727" i="17"/>
  <c r="N727" i="17" s="1" a="1"/>
  <c r="N727" i="17" s="1"/>
  <c r="J727" i="17"/>
  <c r="O727" i="17" s="1" a="1"/>
  <c r="O727" i="17" s="1"/>
  <c r="K727" i="17"/>
  <c r="L727" i="17"/>
  <c r="I728" i="17"/>
  <c r="N728" i="17" s="1" a="1"/>
  <c r="N728" i="17" s="1"/>
  <c r="J728" i="17"/>
  <c r="O728" i="17" s="1" a="1"/>
  <c r="O728" i="17" s="1"/>
  <c r="K728" i="17"/>
  <c r="L728" i="17"/>
  <c r="M728" i="17" s="1"/>
  <c r="I729" i="17"/>
  <c r="J729" i="17"/>
  <c r="O729" i="17" s="1" a="1"/>
  <c r="O729" i="17" s="1"/>
  <c r="K729" i="17"/>
  <c r="L729" i="17"/>
  <c r="M729" i="17" s="1"/>
  <c r="I730" i="17"/>
  <c r="N730" i="17" s="1" a="1"/>
  <c r="N730" i="17" s="1"/>
  <c r="J730" i="17"/>
  <c r="O730" i="17" s="1" a="1"/>
  <c r="O730" i="17" s="1"/>
  <c r="K730" i="17"/>
  <c r="L730" i="17"/>
  <c r="M730" i="17" s="1"/>
  <c r="I731" i="17"/>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I737" i="17"/>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I743" i="17"/>
  <c r="N743" i="17" s="1" a="1"/>
  <c r="N743" i="17" s="1"/>
  <c r="J743" i="17"/>
  <c r="O743" i="17" s="1" a="1"/>
  <c r="O743" i="17" s="1"/>
  <c r="K743" i="17"/>
  <c r="L743" i="17"/>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I758" i="17"/>
  <c r="N758" i="17" s="1" a="1"/>
  <c r="N758" i="17" s="1"/>
  <c r="J758" i="17"/>
  <c r="O758" i="17" s="1" a="1"/>
  <c r="O758" i="17" s="1"/>
  <c r="K758" i="17"/>
  <c r="L758" i="17"/>
  <c r="M758" i="17" s="1"/>
  <c r="I759" i="17"/>
  <c r="N759" i="17" s="1" a="1"/>
  <c r="N759" i="17" s="1"/>
  <c r="J759" i="17"/>
  <c r="O759" i="17" s="1" a="1"/>
  <c r="O759" i="17" s="1"/>
  <c r="K759" i="17"/>
  <c r="L759" i="17"/>
  <c r="I760" i="17"/>
  <c r="N760" i="17" s="1" a="1"/>
  <c r="N760" i="17" s="1"/>
  <c r="J760" i="17"/>
  <c r="O760" i="17" s="1" a="1"/>
  <c r="O760" i="17" s="1"/>
  <c r="K760" i="17"/>
  <c r="L760" i="17"/>
  <c r="M760" i="17" s="1"/>
  <c r="I761" i="17"/>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I775" i="17"/>
  <c r="N775" i="17" s="1" a="1"/>
  <c r="N775" i="17" s="1"/>
  <c r="J775" i="17"/>
  <c r="O775" i="17" s="1" a="1"/>
  <c r="O775" i="17" s="1"/>
  <c r="K775" i="17"/>
  <c r="L775" i="17"/>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I790" i="17"/>
  <c r="N790" i="17" s="1" a="1"/>
  <c r="N790" i="17" s="1"/>
  <c r="J790" i="17"/>
  <c r="O790" i="17" s="1" a="1"/>
  <c r="O790" i="17" s="1"/>
  <c r="K790" i="17"/>
  <c r="L790" i="17"/>
  <c r="M790" i="17" s="1"/>
  <c r="I791" i="17"/>
  <c r="N791" i="17" s="1" a="1"/>
  <c r="N791" i="17" s="1"/>
  <c r="J791" i="17"/>
  <c r="O791" i="17" s="1" a="1"/>
  <c r="O791" i="17" s="1"/>
  <c r="K791" i="17"/>
  <c r="L791" i="17"/>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J799" i="17"/>
  <c r="O799" i="17" s="1" a="1"/>
  <c r="O799" i="17" s="1"/>
  <c r="K799" i="17"/>
  <c r="L799" i="17"/>
  <c r="M799" i="17" s="1"/>
  <c r="I800" i="17"/>
  <c r="N800" i="17" s="1" a="1"/>
  <c r="N800" i="17" s="1"/>
  <c r="J800" i="17"/>
  <c r="O800" i="17" s="1" a="1"/>
  <c r="O800" i="17" s="1"/>
  <c r="K800" i="17"/>
  <c r="L800" i="17"/>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I807" i="17"/>
  <c r="N807" i="17" s="1" a="1"/>
  <c r="N807" i="17" s="1"/>
  <c r="J807" i="17"/>
  <c r="O807" i="17" s="1" a="1"/>
  <c r="O807" i="17" s="1"/>
  <c r="K807" i="17"/>
  <c r="L807" i="17"/>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J823" i="17"/>
  <c r="O823" i="17" s="1" a="1"/>
  <c r="O823" i="17" s="1"/>
  <c r="K823" i="17"/>
  <c r="L823" i="17"/>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K831" i="17"/>
  <c r="L831" i="17"/>
  <c r="M831" i="17" s="1"/>
  <c r="I832" i="17"/>
  <c r="N832" i="17" s="1" a="1"/>
  <c r="N832" i="17" s="1"/>
  <c r="J832" i="17"/>
  <c r="O832" i="17" s="1" a="1"/>
  <c r="O832" i="17" s="1"/>
  <c r="K832" i="17"/>
  <c r="L832" i="17"/>
  <c r="I833" i="17"/>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I839" i="17"/>
  <c r="N839" i="17" s="1" a="1"/>
  <c r="N839" i="17" s="1"/>
  <c r="J839" i="17"/>
  <c r="O839" i="17" s="1" a="1"/>
  <c r="O839" i="17" s="1"/>
  <c r="K839" i="17"/>
  <c r="L839" i="17"/>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I865" i="17"/>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I871" i="17"/>
  <c r="N871" i="17" s="1" a="1"/>
  <c r="N871" i="17" s="1"/>
  <c r="J871" i="17"/>
  <c r="O871" i="17" s="1" a="1"/>
  <c r="O871" i="17" s="1"/>
  <c r="K871" i="17"/>
  <c r="L871" i="17"/>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J885" i="17"/>
  <c r="K885" i="17"/>
  <c r="L885" i="17"/>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I896" i="17"/>
  <c r="N896" i="17" s="1" a="1"/>
  <c r="N896" i="17" s="1"/>
  <c r="J896" i="17"/>
  <c r="O896" i="17" s="1" a="1"/>
  <c r="O896" i="17" s="1"/>
  <c r="K896" i="17"/>
  <c r="L896" i="17"/>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I919" i="17"/>
  <c r="N919" i="17" s="1" a="1"/>
  <c r="N919" i="17" s="1"/>
  <c r="J919" i="17"/>
  <c r="O919" i="17" s="1" a="1"/>
  <c r="O919" i="17" s="1"/>
  <c r="K919" i="17"/>
  <c r="L919" i="17"/>
  <c r="M919" i="17" s="1"/>
  <c r="I920" i="17"/>
  <c r="N920" i="17" s="1" a="1"/>
  <c r="N920" i="17" s="1"/>
  <c r="J920" i="17"/>
  <c r="O920" i="17" s="1" a="1"/>
  <c r="O920" i="17" s="1"/>
  <c r="K920" i="17"/>
  <c r="L920" i="17"/>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I925" i="17"/>
  <c r="N925" i="17" s="1" a="1"/>
  <c r="N925" i="17" s="1"/>
  <c r="J925" i="17"/>
  <c r="O925" i="17" s="1" a="1"/>
  <c r="O925" i="17" s="1"/>
  <c r="K925" i="17"/>
  <c r="L925" i="17"/>
  <c r="M925" i="17" s="1"/>
  <c r="I926" i="17"/>
  <c r="N926" i="17" s="1" a="1"/>
  <c r="N926" i="17" s="1"/>
  <c r="J926" i="17"/>
  <c r="O926" i="17" s="1" a="1"/>
  <c r="O926" i="17" s="1"/>
  <c r="K926" i="17"/>
  <c r="L926" i="17"/>
  <c r="M926" i="17" s="1"/>
  <c r="I927" i="17"/>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I945" i="17"/>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I949" i="17"/>
  <c r="N949" i="17" s="1" a="1"/>
  <c r="N949" i="17" s="1"/>
  <c r="J949" i="17"/>
  <c r="O949" i="17" s="1" a="1"/>
  <c r="O949" i="17" s="1"/>
  <c r="K949" i="17"/>
  <c r="L949" i="17"/>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I960" i="17"/>
  <c r="N960" i="17" s="1" a="1"/>
  <c r="N960" i="17" s="1"/>
  <c r="J960" i="17"/>
  <c r="O960" i="17" s="1" a="1"/>
  <c r="O960" i="17" s="1"/>
  <c r="K960" i="17"/>
  <c r="L960" i="17"/>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I973" i="17"/>
  <c r="N973" i="17" s="1" a="1"/>
  <c r="N973" i="17" s="1"/>
  <c r="J973" i="17"/>
  <c r="O973" i="17" s="1" a="1"/>
  <c r="O973" i="17" s="1"/>
  <c r="K973" i="17"/>
  <c r="L973" i="17"/>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I989" i="17"/>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I997" i="17"/>
  <c r="N997" i="17" s="1" a="1"/>
  <c r="N997" i="17" s="1"/>
  <c r="J997" i="17"/>
  <c r="O997" i="17" s="1" a="1"/>
  <c r="O997" i="17" s="1"/>
  <c r="K997" i="17"/>
  <c r="L997" i="17"/>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<sst xmlns="http://schemas.openxmlformats.org/spreadsheetml/2006/main" count="11129" uniqueCount="6223">
  <si>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</si>
  <si>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</si>
  <si>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</si>
  <si>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</si>
  <si>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</si>
  <si>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</si>
  <si>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</si>
  <si>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</si>
  <si>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</si>
  <si>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</si>
  <si>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</si>
  <si>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</si>
  <si>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</si>
  <si>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</si>
  <si>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</si>
  <si>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</si>
  <si>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</si>
  <si>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</si>
  <si>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</si>
  <si>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</si>
  <si>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</si>
  <si>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</si>
  <si>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</si>
  <si>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</si>
  <si>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</si>
  <si>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</si>
  <si>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</si>
  <si>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</si>
  <si>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</si>
  <si>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</si>
  <si>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</si>
  <si>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</si>
  <si>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</si>
  <si>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</si>
  <si>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</si>
  <si>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</si>
  <si>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</si>
  <si>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</si>
  <si>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</si>
  <si>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</si>
  <si>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</si>
  <si>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</si>
  <si>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</si>
  <si>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</si>
  <si>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</si>
  <si>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</si>
  <si>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</si>
  <si>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</si>
  <si>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</si>
  <si>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</si>
  <si>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</si>
  <si>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</si>
  <si>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</si>
  <si>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</si>
  <si>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</si>
  <si>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</si>
  <si>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</si>
  <si>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</si>
  <si>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</si>
  <si>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</si>
  <si>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</si>
  <si>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</si>
  <si>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</si>
  <si>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</si>
  <si>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</si>
  <si>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</si>
  <si>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</si>
  <si>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</si>
  <si>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</si>
  <si>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</si>
  <si>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</si>
  <si>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</si>
  <si>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</si>
  <si>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</si>
  <si>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</si>
  <si>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</si>
  <si>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</si>
  <si>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</si>
  <si>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</si>
  <si>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</si>
  <si>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</si>
  <si>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</si>
  <si>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</si>
  <si>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</si>
  <si>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</si>
  <si>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</si>
  <si>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</si>
  <si>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</si>
  <si>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</si>
  <si>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</si>
  <si>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</si>
  <si>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</si>
  <si>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</si>
  <si>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</si>
  <si>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</si>
  <si>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</si>
  <si>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</si>
  <si>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</si>
  <si>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</si>
  <si>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</si>
  <si>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</si>
  <si>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</si>
  <si>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</si>
  <si>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</si>
  <si>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</si>
  <si>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</si>
  <si>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</si>
  <si>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</si>
  <si>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</si>
  <si>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</si>
  <si>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</si>
  <si>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</si>
  <si>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</si>
  <si>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</si>
  <si>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</si>
  <si>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</si>
  <si>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</si>
  <si>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</si>
  <si>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</si>
  <si>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</si>
  <si>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</si>
  <si>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</si>
  <si>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</si>
  <si>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</si>
  <si>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</si>
  <si>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</si>
  <si>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</si>
  <si>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</si>
  <si>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</si>
  <si>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</si>
  <si>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</si>
  <si>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</si>
  <si>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</si>
  <si>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</si>
  <si>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</si>
  <si>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</si>
  <si>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</si>
  <si>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</si>
  <si>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</si>
  <si>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</si>
  <si>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</si>
  <si>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</si>
  <si>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</si>
  <si>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</si>
  <si>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</si>
  <si>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</si>
  <si>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</si>
  <si>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</si>
  <si>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</si>
  <si>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</si>
  <si>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</si>
  <si>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</si>
  <si>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</si>
  <si>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</si>
  <si>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</si>
  <si>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</si>
  <si>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</si>
  <si>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</si>
  <si>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</si>
  <si>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</si>
  <si>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</si>
  <si>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</si>
  <si>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</si>
  <si>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</si>
  <si>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</si>
  <si>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</si>
  <si>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</si>
  <si>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</si>
  <si>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</si>
  <si>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</si>
  <si>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</si>
  <si>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</si>
  <si>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</si>
  <si>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</si>
  <si>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</si>
  <si>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</si>
  <si>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</si>
  <si>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</si>
  <si>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</si>
  <si>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</si>
  <si>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</si>
  <si>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</si>
  <si>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</si>
  <si>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</si>
  <si>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</si>
  <si>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</si>
  <si>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</si>
  <si>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</si>
  <si>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</si>
  <si>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</si>
  <si>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</si>
  <si>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</si>
  <si>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</si>
  <si>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</si>
  <si>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</si>
  <si>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</si>
  <si>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</si>
  <si>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</si>
  <si>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</si>
  <si>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</si>
  <si>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</si>
  <si>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</si>
  <si>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</si>
  <si>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</si>
  <si>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</si>
  <si>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</si>
  <si>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</si>
  <si>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</si>
  <si>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</si>
  <si>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</si>
  <si>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</si>
  <si>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</si>
  <si>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</si>
  <si>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</si>
  <si>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</si>
  <si>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</si>
  <si>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</si>
  <si>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</si>
  <si>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</si>
  <si>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</si>
  <si>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</si>
  <si>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</si>
  <si>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</si>
  <si>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</si>
  <si>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</si>
  <si>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</si>
  <si>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</si>
  <si>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</si>
  <si>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</si>
  <si>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</si>
  <si>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</si>
  <si>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</si>
  <si>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</si>
  <si>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</si>
  <si>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</si>
  <si>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</si>
  <si>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</si>
  <si>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</si>
  <si>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</si>
  <si>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</si>
  <si>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</si>
  <si>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</si>
  <si>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</si>
  <si>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</si>
  <si>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</si>
  <si>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</si>
  <si>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</si>
  <si>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</si>
  <si>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</si>
  <si>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</si>
  <si>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</si>
  <si>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</si>
  <si>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</si>
  <si>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</si>
  <si>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</si>
  <si>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</si>
  <si>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</si>
  <si>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</si>
  <si>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</si>
  <si>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</si>
  <si>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</si>
  <si>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</si>
  <si>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</si>
  <si>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</si>
  <si>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</si>
  <si>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</si>
  <si>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</si>
  <si>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</si>
  <si>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</si>
  <si>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</si>
  <si>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</si>
  <si>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</si>
  <si>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</si>
  <si>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</si>
  <si>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</si>
  <si>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</si>
  <si>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</si>
  <si>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</si>
  <si>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</si>
  <si>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</si>
  <si>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</si>
  <si>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</si>
  <si>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</si>
  <si>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</si>
  <si>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</si>
  <si>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</si>
  <si>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</si>
  <si>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</si>
  <si>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</si>
  <si>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</si>
  <si>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</si>
  <si>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</si>
  <si>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</si>
  <si>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</si>
  <si>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</si>
  <si>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</si>
  <si>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</si>
  <si>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</si>
  <si>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</si>
  <si>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</si>
  <si>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</si>
  <si>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</si>
  <si>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</si>
  <si>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</si>
  <si>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</si>
  <si>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</si>
  <si>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</si>
  <si>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</si>
  <si>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</si>
  <si>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</si>
  <si>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</si>
  <si>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</si>
  <si>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</si>
  <si>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</si>
  <si>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</si>
  <si>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</si>
  <si>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</si>
  <si>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</si>
  <si>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</si>
  <si>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</si>
  <si>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</si>
  <si>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</si>
  <si>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</si>
  <si>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</si>
  <si>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</si>
  <si>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</si>
  <si>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</si>
  <si>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</si>
  <si>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</si>
  <si>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</si>
  <si>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</si>
  <si>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</si>
  <si>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</si>
  <si>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</si>
  <si>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</si>
  <si>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</si>
  <si>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</si>
  <si>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</si>
  <si>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</si>
  <si>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</si>
  <si>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</si>
  <si>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</si>
  <si>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</si>
  <si>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</si>
  <si>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</si>
  <si>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</si>
  <si>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</si>
  <si>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</si>
  <si>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</si>
  <si>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</si>
  <si>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</si>
  <si>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</si>
  <si>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</si>
  <si>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</si>
  <si>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</si>
  <si>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</si>
  <si>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</si>
  <si>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</si>
  <si>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</si>
  <si>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</si>
  <si>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</si>
  <si>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</si>
  <si>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</si>
  <si>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</si>
  <si>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</si>
  <si>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</si>
  <si>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</si>
  <si>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</si>
  <si>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</si>
  <si>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</si>
  <si>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</si>
  <si>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</si>
  <si>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</si>
  <si>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</si>
  <si>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</si>
  <si>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</si>
  <si>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</si>
  <si>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</si>
  <si>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</si>
  <si>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</si>
  <si>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</si>
  <si>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</si>
  <si>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</si>
  <si>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</si>
  <si>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</si>
  <si>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</si>
  <si>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</si>
  <si>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</si>
  <si>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</si>
  <si>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</si>
  <si>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</si>
  <si>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</si>
  <si>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</si>
  <si>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</si>
  <si>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</si>
  <si>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</si>
  <si>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</si>
  <si>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</si>
  <si>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</si>
  <si>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</si>
  <si>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</si>
  <si>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</si>
  <si>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</si>
  <si>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</si>
  <si>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</si>
  <si>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</si>
  <si>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</si>
  <si>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</si>
  <si>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</si>
  <si>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</si>
  <si>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</si>
  <si>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</si>
  <si>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</si>
  <si>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</si>
  <si>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</si>
  <si>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</si>
  <si>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</si>
  <si>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</si>
  <si>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</si>
  <si>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</si>
  <si>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</si>
  <si>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</si>
  <si>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</si>
  <si>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</si>
  <si>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</si>
  <si>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</si>
  <si>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</si>
  <si>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</si>
  <si>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</si>
  <si>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</si>
  <si>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</si>
  <si>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</si>
  <si>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</si>
  <si>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</si>
  <si>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</si>
  <si>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</si>
  <si>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</si>
  <si>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</si>
  <si>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</si>
  <si>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</si>
  <si>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</si>
  <si>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</si>
  <si>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</si>
  <si>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</si>
  <si>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</si>
  <si>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</si>
  <si>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</si>
  <si>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</si>
  <si>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</si>
  <si>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</si>
  <si>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</si>
  <si>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</si>
  <si>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</si>
  <si>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</si>
  <si>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</si>
  <si>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</si>
  <si>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</si>
  <si>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</si>
  <si>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</si>
  <si>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</si>
  <si>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</si>
  <si>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</si>
  <si>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</si>
  <si>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</si>
  <si>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</si>
  <si>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</si>
  <si>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</si>
  <si>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</si>
  <si>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</si>
  <si>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</si>
  <si>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</si>
  <si>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</si>
  <si>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</si>
  <si>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</si>
  <si>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</si>
  <si>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</si>
  <si>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</si>
  <si>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</si>
  <si>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</si>
  <si>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</si>
  <si>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</si>
  <si>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</si>
  <si>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</si>
  <si>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</si>
  <si>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</si>
  <si>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</si>
  <si>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</si>
  <si>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</si>
  <si>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</si>
  <si>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</si>
  <si>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</si>
  <si>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</si>
  <si>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</si>
  <si>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</si>
  <si>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</si>
  <si>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</si>
  <si>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</si>
  <si>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</si>
  <si>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</si>
  <si>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</si>
  <si>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</si>
  <si>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</si>
  <si>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</si>
  <si>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</si>
  <si>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</si>
  <si>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</si>
  <si>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</si>
  <si>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</si>
  <si>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</si>
  <si>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</si>
  <si>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</si>
  <si>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</si>
  <si>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</si>
  <si>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</si>
  <si>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</si>
  <si>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</si>
  <si>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</si>
  <si>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</si>
  <si>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</si>
  <si>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</si>
  <si>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</si>
  <si>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</si>
  <si>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</si>
  <si>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</si>
  <si>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</si>
  <si>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</si>
  <si>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</si>
  <si>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</si>
  <si>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</si>
  <si>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</si>
  <si>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</si>
  <si>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</si>
  <si>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</si>
  <si>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</si>
  <si>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</si>
  <si>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</si>
  <si>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</si>
  <si>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</si>
  <si>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</si>
  <si>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</si>
  <si>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</si>
  <si>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</si>
  <si>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</si>
  <si>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</si>
  <si>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</si>
  <si>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</si>
  <si>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</si>
  <si>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</si>
  <si>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</si>
  <si>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</si>
  <si>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</si>
  <si>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</si>
  <si>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</si>
  <si>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</si>
  <si>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</si>
  <si>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</si>
  <si>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</si>
  <si>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</si>
  <si>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</si>
  <si>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</si>
  <si>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</si>
  <si>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</si>
  <si>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</si>
  <si>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</si>
  <si>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</si>
  <si>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</si>
  <si>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</si>
  <si>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</si>
  <si>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</si>
  <si>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</si>
  <si>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</si>
  <si>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</si>
  <si>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</si>
  <si>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</si>
  <si>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</si>
  <si>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</si>
  <si>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</si>
  <si>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</si>
  <si>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</si>
  <si>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</si>
  <si>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</si>
  <si>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</si>
  <si>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</si>
  <si>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</si>
  <si>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</si>
  <si>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</si>
  <si>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</si>
  <si>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</si>
  <si>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</si>
  <si>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</si>
  <si>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</si>
  <si>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</si>
  <si>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</si>
  <si>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</si>
  <si>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</si>
  <si>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</si>
  <si>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</si>
  <si>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</si>
  <si>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</si>
  <si>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</si>
  <si>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</si>
  <si>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</si>
  <si>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</si>
  <si>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</si>
  <si>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</si>
  <si>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</si>
  <si>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</si>
  <si>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</si>
  <si>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</si>
  <si>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</si>
  <si>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</si>
  <si>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</si>
  <si>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</si>
  <si>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</si>
  <si>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</si>
  <si>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</si>
  <si>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</si>
  <si>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</si>
  <si>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</si>
  <si>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</si>
  <si>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</si>
  <si>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</si>
  <si>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</si>
  <si>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</si>
  <si>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</si>
  <si>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</si>
  <si>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</si>
  <si>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</si>
  <si>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</si>
  <si>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</si>
  <si>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</si>
  <si>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</si>
  <si>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</si>
  <si>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</si>
  <si>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</si>
  <si>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</si>
  <si>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</si>
  <si>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</si>
  <si>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</si>
  <si>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</si>
  <si>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</si>
  <si>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</si>
  <si>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</si>
  <si>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</si>
  <si>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</si>
  <si>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</si>
  <si>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</si>
  <si>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</si>
  <si>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</si>
  <si>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</si>
  <si>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</si>
  <si>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</si>
  <si>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</si>
  <si>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</si>
  <si>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</si>
  <si>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</si>
  <si>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</si>
  <si>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</si>
  <si>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</si>
  <si>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</si>
  <si>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</si>
  <si>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</si>
  <si>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</si>
  <si>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</si>
  <si>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</si>
  <si>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</si>
  <si>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</si>
  <si>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</si>
  <si>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</si>
  <si>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</si>
  <si>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</si>
  <si>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</si>
  <si>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</si>
  <si>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</si>
  <si>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</si>
  <si>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</si>
  <si>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</si>
  <si>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</si>
  <si>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</si>
  <si>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</si>
  <si>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</si>
  <si>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</si>
  <si>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</si>
  <si>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</si>
  <si>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</si>
  <si>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</si>
  <si>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</si>
  <si>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</si>
  <si>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</si>
  <si>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</si>
  <si>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</si>
  <si>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</si>
  <si>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</si>
  <si>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</si>
  <si>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</si>
  <si>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</si>
  <si>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</si>
  <si>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</si>
  <si>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</si>
  <si>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</si>
  <si>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</si>
  <si>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</si>
  <si>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</si>
  <si>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</si>
  <si>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</si>
  <si>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</si>
  <si>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</si>
  <si>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</si>
  <si>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</si>
  <si>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</si>
  <si>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</si>
  <si>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</si>
  <si>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</si>
  <si>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</si>
  <si>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</si>
  <si>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</si>
  <si>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</si>
  <si>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</si>
  <si>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</si>
  <si>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</si>
  <si>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</si>
  <si>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</si>
  <si>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</si>
  <si>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</si>
  <si>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</si>
  <si>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</si>
  <si>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</si>
  <si>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</si>
  <si>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</si>
  <si>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</si>
  <si>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</si>
  <si>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</si>
  <si>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</si>
  <si>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</si>
  <si>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</si>
  <si>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</si>
  <si>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</si>
  <si>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</si>
  <si>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</si>
  <si>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</si>
  <si>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</si>
  <si>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</si>
  <si>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</si>
  <si>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</si>
  <si>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</si>
  <si>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</si>
  <si>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</si>
  <si>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</si>
  <si>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</si>
  <si>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</si>
  <si>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</si>
  <si>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</si>
  <si>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</si>
  <si>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</si>
  <si>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</si>
  <si>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</si>
  <si>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</si>
  <si>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</si>
  <si>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</si>
  <si>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</si>
  <si>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</si>
  <si>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</si>
  <si>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</si>
  <si>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</si>
  <si>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</si>
  <si>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</si>
  <si>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</si>
  <si>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</si>
  <si>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</si>
  <si>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</si>
  <si>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</si>
  <si>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</si>
  <si>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</si>
  <si>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</si>
  <si>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</si>
  <si>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</si>
  <si>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</si>
  <si>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</si>
  <si>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</si>
  <si>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</si>
  <si>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</si>
  <si>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</si>
  <si>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</si>
  <si>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</si>
  <si>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</si>
  <si>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</si>
  <si>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</si>
  <si>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</si>
  <si>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</si>
  <si>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</si>
  <si>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</si>
  <si>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</si>
  <si>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</si>
  <si>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</si>
  <si>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</si>
  <si>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</si>
  <si>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</si>
  <si>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</si>
  <si>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</si>
  <si>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</si>
  <si>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</si>
  <si>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</si>
  <si>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</si>
  <si>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</si>
  <si>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</si>
  <si>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</si>
  <si>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</si>
  <si>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</si>
  <si>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</si>
  <si>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</si>
  <si>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</si>
  <si>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</si>
  <si>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</si>
  <si>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</si>
  <si>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</si>
  <si>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</si>
  <si>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</si>
  <si>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</si>
  <si>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</si>
  <si>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</si>
  <si>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</si>
  <si>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</si>
  <si>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</si>
  <si>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</si>
  <si>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</si>
  <si>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</si>
  <si>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</si>
  <si>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</si>
  <si>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</si>
  <si>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</si>
  <si>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</si>
  <si>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</si>
  <si>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</si>
  <si>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</si>
  <si>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</si>
  <si>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</si>
  <si>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</si>
  <si>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</si>
  <si>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</si>
  <si>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</si>
  <si>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</si>
  <si>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</si>
  <si>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</si>
  <si>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</si>
  <si>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</si>
  <si>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</si>
  <si>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</si>
  <si>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</si>
  <si>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</si>
  <si>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</si>
  <si>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</si>
  <si>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</si>
  <si>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</si>
  <si>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</si>
  <si>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</si>
  <si>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</si>
  <si>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</si>
  <si>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</si>
  <si>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</si>
  <si>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</si>
  <si>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</si>
  <si>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</si>
  <si>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</si>
  <si>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</si>
  <si>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</si>
  <si>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</si>
  <si>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</si>
  <si>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</si>
  <si>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</si>
  <si>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</si>
  <si>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</si>
  <si>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</si>
  <si>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</si>
  <si>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</si>
  <si>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</si>
  <si>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</si>
  <si>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</si>
  <si>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</si>
  <si>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</si>
  <si>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</si>
  <si>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</si>
  <si>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</si>
  <si>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</si>
  <si>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</si>
  <si>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</si>
  <si>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</si>
  <si>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</si>
  <si>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</si>
  <si>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</si>
  <si>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</si>
  <si>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</si>
  <si>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</si>
  <si>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</si>
  <si>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</si>
  <si>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</si>
  <si>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</si>
  <si>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</si>
  <si>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</si>
  <si>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</si>
  <si>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</si>
  <si>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</si>
  <si>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</si>
  <si>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</si>
  <si>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</si>
  <si>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</si>
  <si>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</si>
  <si>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</si>
  <si>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</si>
  <si>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</si>
  <si>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</si>
  <si>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</si>
  <si>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</si>
  <si>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</si>
  <si>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</si>
  <si>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</si>
  <si>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</si>
  <si>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</si>
  <si>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</si>
  <si>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</si>
  <si>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</si>
  <si>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</si>
  <si>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</si>
  <si>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</si>
  <si>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</si>
  <si>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</si>
  <si>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</si>
  <si>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</si>
  <si>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</si>
  <si>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</si>
  <si>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</si>
  <si>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</si>
  <si>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</si>
  <si>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</si>
  <si>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</si>
  <si>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</si>
  <si>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</si>
  <si>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</si>
  <si>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</si>
  <si>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</si>
  <si>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</si>
  <si>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</si>
  <si>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</si>
  <si>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</si>
  <si>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</si>
  <si>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</si>
  <si>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</si>
  <si>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</si>
  <si>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</si>
  <si>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</si>
  <si>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</si>
  <si>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</si>
  <si>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</si>
  <si>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</si>
  <si>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</si>
  <si>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</si>
  <si>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</si>
  <si>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</si>
  <si>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</si>
  <si>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</si>
  <si>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</si>
  <si>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</si>
  <si>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</si>
  <si>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</si>
  <si>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</si>
  <si>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</si>
  <si>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</si>
  <si>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</si>
  <si>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</si>
  <si>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</si>
  <si>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</si>
  <si>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</si>
  <si>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</si>
  <si>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</si>
  <si>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</si>
  <si>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</si>
  <si>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</si>
  <si>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</si>
  <si>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</si>
  <si>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</si>
  <si>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</si>
  <si>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</si>
  <si>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</si>
  <si>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</si>
  <si>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</si>
  <si>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</si>
  <si>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</si>
  <si>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</si>
  <si>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</si>
  <si>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</si>
  <si>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</si>
  <si>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</si>
  <si>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</si>
  <si>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</si>
  <si>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</si>
  <si>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</si>
  <si>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</si>
  <si>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</si>
  <si>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</si>
  <si>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</si>
  <si>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</si>
  <si>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</si>
  <si>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</si>
  <si>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</si>
  <si>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</si>
  <si>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</si>
  <si>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</si>
  <si>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</si>
  <si>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</si>
  <si>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</si>
  <si>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</si>
  <si>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</si>
  <si>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</si>
  <si>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</si>
  <si>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</si>
  <si>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</si>
  <si>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</si>
  <si>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</si>
  <si>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</si>
  <si>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</si>
  <si>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</si>
  <si>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</si>
  <si>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</si>
  <si>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</si>
  <si>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</si>
  <si>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</si>
  <si>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</si>
  <si>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</si>
  <si>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</si>
  <si>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</si>
  <si>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</si>
  <si>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</si>
  <si>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</si>
  <si>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</si>
  <si>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</si>
  <si>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</si>
  <si>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</si>
  <si>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</si>
  <si>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</si>
  <si>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</si>
  <si>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</si>
  <si>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</si>
  <si>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</si>
  <si>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</si>
  <si>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</si>
  <si>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</si>
  <si>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</si>
  <si>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</si>
  <si>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</si>
  <si>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</si>
  <si>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</si>
  <si>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</si>
  <si>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</si>
  <si>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</si>
  <si>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</si>
  <si>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</si>
  <si>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</si>
  <si>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</si>
  <si>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</si>
  <si>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</si>
  <si>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</si>
  <si>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</si>
  <si>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</si>
  <si>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</si>
  <si>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</si>
  <si>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</si>
  <si>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</si>
  <si>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</si>
  <si>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</si>
  <si>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</si>
  <si>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</si>
  <si>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</si>
  <si>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</si>
  <si>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</si>
  <si>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</si>
  <si>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</si>
  <si>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</si>
  <si>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</si>
  <si>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</si>
  <si>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</si>
  <si>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</si>
  <si>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</si>
  <si>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</si>
  <si>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</si>
  <si>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</si>
  <si>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</si>
  <si>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</si>
  <si>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</si>
  <si>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</si>
  <si>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</si>
  <si>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</si>
  <si>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</si>
  <si>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</si>
  <si>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</si>
  <si>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</si>
  <si>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</si>
  <si>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</si>
  <si>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</si>
  <si>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</si>
  <si>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</si>
  <si>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</si>
  <si>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</si>
  <si>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</si>
  <si>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</si>
  <si>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</si>
  <si>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</si>
  <si>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</si>
  <si>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</si>
  <si>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</si>
  <si>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</si>
  <si>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</si>
  <si>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</si>
  <si>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</si>
  <si>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</si>
  <si>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</si>
  <si>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</si>
  <si>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</si>
  <si>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</si>
  <si>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</si>
  <si>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</si>
  <si>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</si>
  <si>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</si>
  <si>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</si>
  <si>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</si>
  <si>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</si>
  <si>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</si>
  <si>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</si>
  <si>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</si>
  <si>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</si>
  <si>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</si>
  <si>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</si>
  <si>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</si>
  <si>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</si>
  <si>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</si>
  <si>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</si>
  <si>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</si>
  <si>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</si>
  <si>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</si>
  <si>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</si>
  <si>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</si>
  <si>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</si>
  <si>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</si>
  <si>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</si>
  <si>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</si>
  <si>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</si>
  <si>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</si>
  <si>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</si>
  <si>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</si>
  <si>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</si>
  <si>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</si>
  <si>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</si>
  <si>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</si>
  <si>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</si>
  <si>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</si>
  <si>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</si>
  <si>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</si>
  <si>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</si>
  <si>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</si>
  <si>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</si>
  <si>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</si>
  <si>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</si>
  <si>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</si>
  <si>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</si>
  <si>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</si>
  <si>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</si>
  <si>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</si>
  <si>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</si>
  <si>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</si>
  <si>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</si>
  <si>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</si>
  <si>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</si>
  <si>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</si>
  <si>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</si>
  <si>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</si>
  <si>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</si>
  <si>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</si>
  <si>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</si>
  <si>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</si>
  <si>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</si>
  <si>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</si>
  <si>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</si>
  <si>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</si>
  <si>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</si>
  <si>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</si>
  <si>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</si>
  <si>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</si>
  <si>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</si>
  <si>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</si>
  <si>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</si>
  <si>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</si>
  <si>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</si>
  <si>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</si>
  <si>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</si>
  <si>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</si>
  <si>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</si>
  <si>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</si>
  <si>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</si>
  <si>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</si>
  <si>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</si>
  <si>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</si>
  <si>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</si>
  <si>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</si>
  <si>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</si>
  <si>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</si>
  <si>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</si>
  <si>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</si>
  <si>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</si>
  <si>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</si>
  <si>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</si>
  <si>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</si>
  <si>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</si>
  <si>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</si>
  <si>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</si>
  <si>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</si>
  <si>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</si>
  <si>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</si>
  <si>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</si>
  <si>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</si>
  <si>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</si>
  <si>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</si>
  <si>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</si>
  <si>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</si>
  <si>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</si>
  <si>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</si>
  <si>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</si>
  <si>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</si>
  <si>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</si>
  <si>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</si>
  <si>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</si>
  <si>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</si>
  <si>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</si>
  <si>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</si>
  <si>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</si>
  <si>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</si>
  <si>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</si>
  <si>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</si>
  <si>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</si>
  <si>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</si>
  <si>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</si>
  <si>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</si>
  <si>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</si>
  <si>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</si>
  <si>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</si>
  <si>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</si>
  <si>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</si>
  <si>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</si>
  <si>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</si>
  <si>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</si>
  <si>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</si>
  <si>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</si>
  <si>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</si>
  <si>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</si>
  <si>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</si>
  <si>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</si>
  <si>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</si>
  <si>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</si>
  <si>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</si>
  <si>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</si>
  <si>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</si>
  <si>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</si>
  <si>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</si>
  <si>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</si>
  <si>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</si>
  <si>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</si>
  <si>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</si>
  <si>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</si>
  <si>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</si>
  <si>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</si>
  <si>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</si>
  <si>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</si>
  <si>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</si>
  <si>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</si>
  <si>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</si>
  <si>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</si>
  <si>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</si>
  <si>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</si>
  <si>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</si>
  <si>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</si>
  <si>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</si>
  <si>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</si>
  <si>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</si>
  <si>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</si>
  <si>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</si>
  <si>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</si>
  <si>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</si>
  <si>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</si>
  <si>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</si>
  <si>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</si>
  <si>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</si>
  <si>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</si>
  <si>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</si>
  <si>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</si>
  <si>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</si>
  <si>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</si>
  <si>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</si>
  <si>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</si>
  <si>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</si>
  <si>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</si>
  <si>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</si>
  <si>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</si>
  <si>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</si>
  <si>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</si>
  <si>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</si>
  <si>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</si>
  <si>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</si>
  <si>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</si>
  <si>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</si>
  <si>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</si>
  <si>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</si>
  <si>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</si>
  <si>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</si>
  <si>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</si>
  <si>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</si>
  <si>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</si>
  <si>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</si>
  <si>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</si>
  <si>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</si>
  <si>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</si>
  <si>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</si>
  <si>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</si>
  <si>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</si>
  <si>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</si>
  <si>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</si>
  <si>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</si>
  <si>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</si>
  <si>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</si>
  <si>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</si>
  <si>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</si>
  <si>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</si>
  <si>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</si>
  <si>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</si>
  <si>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</si>
  <si>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</si>
  <si>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</si>
  <si>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</si>
  <si>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</si>
  <si>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</si>
  <si>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</si>
  <si>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</si>
  <si>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</si>
  <si>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</si>
  <si>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</si>
  <si>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</si>
  <si>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</si>
  <si>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</si>
  <si>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</si>
  <si>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</si>
  <si>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</si>
  <si>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</si>
  <si>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</si>
  <si>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</si>
  <si>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</si>
  <si>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</si>
  <si>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</si>
  <si>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</si>
  <si>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</si>
  <si>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</si>
  <si>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</si>
  <si>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</si>
  <si>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</si>
  <si>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</si>
  <si>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</si>
  <si>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</si>
  <si>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</si>
  <si>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</si>
  <si>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</si>
  <si>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</si>
  <si>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</si>
  <si>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</si>
  <si>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</si>
  <si>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</si>
  <si>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</si>
  <si>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</si>
  <si>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</si>
  <si>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</si>
  <si>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</si>
  <si>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</si>
  <si>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</si>
  <si>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</si>
  <si>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</si>
  <si>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</si>
  <si>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</si>
  <si>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</si>
  <si>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</si>
  <si>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</si>
  <si>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</si>
  <si>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</si>
  <si>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</si>
  <si>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</si>
  <si>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</si>
  <si>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</si>
  <si>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</si>
  <si>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</si>
  <si>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</si>
  <si>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</si>
  <si>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</si>
  <si>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</si>
  <si>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</si>
  <si>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</si>
  <si>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</si>
  <si>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</si>
  <si>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</si>
  <si>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</si>
  <si>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</si>
  <si>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</si>
  <si>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</si>
  <si>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</si>
  <si>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</si>
  <si>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</si>
  <si>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</si>
  <si>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</si>
  <si>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</si>
  <si>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</si>
  <si>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</si>
  <si>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</si>
  <si>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</si>
  <si>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</si>
  <si>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</si>
  <si>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</si>
  <si>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</si>
  <si>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</si>
  <si>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</si>
  <si>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</si>
  <si>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</si>
  <si>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</si>
  <si>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</si>
  <si>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</si>
  <si>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</si>
  <si>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</si>
  <si>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</si>
  <si>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</si>
  <si>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</si>
  <si>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</si>
  <si>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</si>
  <si>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</si>
  <si>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</si>
  <si>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</si>
  <si>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</si>
  <si>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</si>
  <si>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</si>
  <si>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</si>
  <si>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</si>
  <si>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</si>
  <si>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</si>
  <si>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</si>
  <si>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</si>
  <si>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</si>
  <si>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</si>
  <si>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</si>
  <si>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</si>
  <si>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</si>
  <si>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</si>
  <si>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</si>
  <si>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</si>
  <si>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</si>
  <si>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</si>
  <si>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</si>
  <si>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</si>
  <si>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</si>
  <si>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</si>
  <si>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</si>
  <si>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</si>
  <si>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</si>
  <si>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</si>
  <si>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</si>
  <si>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</si>
  <si>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</si>
  <si>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</si>
  <si>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</si>
  <si>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</si>
  <si>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</si>
  <si>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</si>
  <si>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</si>
  <si>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</si>
  <si>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</si>
  <si>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</si>
  <si>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</si>
  <si>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</si>
  <si>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</si>
  <si>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</si>
  <si>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</si>
  <si>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</si>
  <si>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</si>
  <si>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</si>
  <si>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</si>
  <si>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</si>
  <si>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</si>
  <si>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</si>
  <si>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</si>
  <si>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</si>
  <si>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</si>
  <si>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</si>
  <si>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</si>
  <si>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</si>
  <si>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</si>
  <si>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</si>
  <si>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</si>
  <si>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</si>
  <si>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</si>
  <si>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</si>
  <si>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</si>
  <si>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</si>
  <si>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</si>
  <si>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</si>
  <si>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</si>
  <si>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</si>
  <si>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</si>
  <si>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</si>
  <si>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</si>
  <si>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</si>
  <si>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</si>
  <si>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</si>
  <si>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</si>
  <si>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</si>
  <si>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</si>
  <si>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</si>
  <si>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</si>
  <si>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</si>
  <si>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</si>
  <si>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</si>
  <si>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</si>
  <si>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</si>
  <si>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</si>
  <si>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</si>
  <si>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</si>
  <si>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</si>
  <si>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</si>
  <si>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</si>
  <si>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</si>
  <si>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</si>
  <si>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</si>
  <si>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</si>
  <si>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</si>
  <si>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</si>
  <si>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</si>
  <si>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</si>
  <si>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</si>
  <si>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</si>
  <si>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</si>
  <si>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</si>
  <si>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</si>
  <si>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</si>
  <si>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</si>
  <si>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</si>
  <si>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</si>
  <si>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</si>
  <si>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</si>
  <si>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</si>
  <si>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</si>
  <si>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</si>
  <si>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</si>
  <si>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</si>
  <si>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</si>
  <si>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</si>
  <si>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</si>
  <si>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</si>
  <si>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</si>
  <si>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</si>
  <si>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</si>
  <si>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</si>
  <si>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</si>
  <si>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</si>
  <si>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</si>
  <si>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</si>
  <si>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</si>
  <si>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</si>
  <si>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</si>
  <si>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</si>
  <si>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</si>
  <si>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</si>
  <si>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</si>
  <si>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</si>
  <si>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</si>
  <si>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</si>
  <si>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</si>
  <si>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</si>
  <si>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</si>
  <si>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</si>
  <si>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</si>
  <si>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</si>
  <si>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</si>
  <si>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</si>
  <si>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</si>
  <si>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</si>
  <si>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</si>
  <si>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</si>
  <si>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</si>
  <si>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</si>
  <si>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</si>
  <si>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</si>
  <si>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</si>
  <si>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</si>
  <si>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</si>
  <si>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</si>
  <si>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</si>
  <si>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</si>
  <si>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</si>
  <si>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</si>
  <si>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</si>
  <si>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</si>
  <si>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</si>
  <si>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</si>
  <si>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</si>
  <si>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</si>
  <si>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</si>
  <si>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</si>
  <si>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</si>
  <si>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</si>
  <si>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</si>
  <si>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</si>
  <si>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</si>
  <si>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</si>
  <si>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</si>
  <si>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</si>
  <si>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</si>
  <si>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</si>
  <si>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</si>
  <si>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</si>
  <si>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</si>
  <si>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</si>
  <si>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</si>
  <si>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</si>
  <si>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</si>
  <si>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</si>
  <si>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</si>
  <si>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</si>
  <si>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</si>
  <si>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</si>
  <si>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</si>
  <si>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</si>
  <si>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</si>
  <si>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</si>
  <si>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</si>
  <si>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</si>
  <si>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</si>
  <si>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</si>
  <si>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</si>
  <si>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</si>
  <si>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</si>
  <si>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</si>
  <si>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</si>
  <si>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</si>
  <si>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</si>
  <si>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</si>
  <si>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</si>
  <si>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</si>
  <si>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</si>
  <si>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</si>
  <si>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</si>
  <si>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</si>
  <si>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</si>
  <si>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</si>
  <si>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</si>
  <si>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</si>
  <si>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</si>
  <si>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</si>
  <si>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</si>
  <si>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</si>
  <si>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</si>
  <si>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</si>
  <si>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</si>
  <si>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</si>
  <si>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</si>
  <si>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</si>
  <si>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</si>
  <si>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</si>
  <si>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</si>
  <si>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</si>
  <si>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</si>
  <si>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</si>
  <si>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</si>
  <si>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</si>
  <si>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</si>
  <si>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</si>
  <si>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</si>
  <si>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</si>
  <si>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</si>
  <si>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</si>
  <si>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</si>
  <si>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</si>
  <si>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</si>
  <si>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</si>
  <si>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</si>
  <si>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</si>
  <si>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</si>
  <si>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</si>
  <si>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</si>
  <si>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</si>
  <si>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</si>
  <si>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</si>
  <si>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</si>
  <si>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</si>
  <si>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</si>
  <si>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</si>
  <si>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</si>
  <si>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</si>
  <si>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</si>
  <si>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</si>
  <si>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</si>
  <si>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</si>
  <si>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</si>
  <si>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</si>
  <si>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</si>
  <si>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</si>
  <si>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</si>
  <si>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</si>
  <si>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</si>
  <si>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</si>
  <si>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</si>
  <si>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</si>
  <si>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</si>
  <si>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</si>
  <si>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</si>
  <si>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</si>
  <si>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</si>
  <si>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</si>
  <si>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</si>
  <si>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</si>
  <si>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</si>
  <si>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</si>
  <si>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</si>
  <si>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</si>
  <si>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</si>
  <si>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</si>
  <si>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</si>
  <si>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</si>
  <si>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</si>
  <si>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</si>
  <si>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</si>
  <si>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</si>
  <si>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</si>
  <si>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</si>
  <si>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</si>
  <si>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</si>
  <si>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</si>
  <si>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</si>
  <si>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</si>
  <si>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</si>
  <si>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</si>
  <si>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</si>
  <si>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</si>
  <si>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</si>
  <si>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</si>
  <si>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</si>
  <si>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</si>
  <si>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</si>
  <si>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</si>
  <si>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</si>
  <si>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</si>
  <si>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</si>
  <si>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</si>
  <si>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</si>
  <si>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</si>
  <si>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</si>
  <si>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</si>
  <si>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</si>
  <si>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</si>
  <si>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</si>
  <si>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</si>
  <si>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</si>
  <si>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</si>
  <si>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</si>
  <si>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</si>
  <si>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</si>
  <si>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</si>
  <si>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</si>
  <si>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</si>
  <si>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</si>
  <si>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</si>
  <si>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</si>
  <si>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</si>
  <si>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</si>
  <si>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</si>
  <si>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</si>
  <si>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</si>
  <si>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</si>
  <si>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</si>
  <si>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</si>
  <si>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</si>
  <si>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</si>
  <si>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</si>
  <si>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</si>
  <si>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</si>
  <si>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</si>
  <si>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</si>
  <si>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</si>
  <si>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</si>
  <si>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</si>
  <si>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</si>
  <si>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</si>
  <si>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</si>
  <si>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</si>
  <si>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</si>
  <si>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</si>
  <si>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</si>
  <si>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</si>
  <si>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</si>
  <si>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</si>
  <si>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</si>
  <si>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</si>
  <si>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</si>
  <si>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</si>
  <si>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</si>
  <si>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</si>
  <si>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</si>
  <si>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</si>
  <si>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</si>
  <si>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</si>
  <si>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</si>
  <si>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</si>
  <si>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</si>
  <si>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</si>
  <si>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</si>
  <si>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</si>
  <si>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</si>
  <si>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</si>
  <si>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</si>
  <si>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</si>
  <si>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</si>
  <si>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</si>
  <si>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</si>
  <si>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</si>
  <si>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</si>
  <si>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</si>
  <si>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</si>
  <si>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</si>
  <si>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</si>
  <si>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</si>
  <si>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</si>
  <si>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</si>
  <si>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</si>
  <si>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</si>
  <si>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</si>
  <si>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</si>
  <si>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</si>
  <si>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</si>
  <si>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</si>
  <si>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</si>
  <si>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</si>
  <si>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</si>
  <si>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</si>
  <si>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</si>
  <si>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</si>
  <si>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</si>
  <si>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</si>
  <si>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</si>
  <si>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</si>
  <si>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</si>
  <si>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</si>
  <si>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</si>
  <si>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</si>
  <si>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</si>
  <si>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</si>
  <si>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</si>
  <si>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</si>
  <si>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</si>
  <si>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</si>
  <si>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</si>
  <si>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</si>
  <si>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</si>
  <si>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</si>
  <si>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</si>
  <si>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</si>
  <si>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</si>
  <si>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</si>
  <si>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</si>
  <si>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</si>
  <si>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</si>
  <si>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</si>
  <si>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</si>
  <si>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</si>
  <si>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</si>
  <si>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</si>
  <si>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</si>
  <si>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</si>
  <si>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</si>
  <si>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</si>
  <si>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</si>
  <si>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</si>
  <si>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</si>
  <si>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</si>
  <si>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</si>
  <si>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</si>
  <si>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</si>
  <si>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</si>
  <si>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</si>
  <si>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</si>
  <si>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</si>
  <si>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</si>
  <si>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</si>
  <si>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</si>
  <si>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</si>
  <si>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</si>
  <si>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</si>
  <si>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</si>
  <si>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</si>
  <si>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</si>
  <si>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</si>
  <si>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</si>
  <si>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</si>
  <si>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</si>
  <si>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</si>
  <si>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</si>
  <si>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</si>
  <si>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</si>
  <si>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</si>
  <si>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</si>
  <si>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</si>
  <si>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</si>
  <si>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</si>
  <si>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</si>
  <si>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</si>
  <si>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</si>
  <si>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</si>
  <si>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</si>
  <si>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</si>
  <si>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</si>
  <si>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</si>
  <si>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</si>
  <si>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</si>
  <si>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</si>
  <si>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</si>
  <si>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</si>
  <si>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</si>
  <si>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</si>
  <si>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</si>
  <si>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</si>
  <si>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</si>
  <si>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</si>
  <si>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</si>
  <si>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</si>
  <si>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</si>
  <si>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</si>
  <si>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</si>
  <si>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</si>
  <si>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</si>
  <si>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</si>
  <si>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</si>
  <si>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</si>
  <si>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</si>
  <si>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</si>
  <si>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</si>
  <si>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</si>
  <si>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</si>
  <si>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</si>
  <si>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</si>
  <si>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</si>
  <si>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</si>
  <si>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</si>
  <si>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</si>
  <si>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</si>
  <si>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</si>
  <si>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</si>
  <si>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</si>
  <si>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</si>
  <si>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</si>
  <si>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</si>
  <si>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</si>
  <si>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</si>
  <si>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</si>
  <si>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</si>
  <si>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</si>
  <si>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</si>
  <si>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</si>
  <si>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</si>
  <si>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</si>
  <si>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</si>
  <si>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</si>
  <si>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</si>
  <si>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</si>
  <si>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</si>
  <si>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</si>
  <si>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</si>
  <si>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</si>
  <si>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</si>
  <si>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</si>
  <si>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</si>
  <si>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</si>
  <si>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</si>
  <si>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</si>
  <si>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</si>
  <si>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</si>
  <si>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</si>
  <si>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</si>
  <si>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</si>
  <si>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</si>
  <si>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</si>
  <si>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</si>
  <si>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</si>
  <si>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</si>
  <si>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</si>
  <si>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</si>
  <si>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</si>
  <si>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</si>
  <si>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</si>
  <si>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</si>
  <si>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</si>
  <si>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</si>
  <si>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</si>
  <si>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</si>
  <si>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</si>
  <si>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</si>
  <si>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</si>
  <si>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</si>
  <si>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</si>
  <si>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</si>
  <si>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</si>
  <si>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</si>
  <si>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</si>
  <si>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</si>
  <si>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</si>
  <si>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</si>
  <si>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</si>
  <si>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</si>
  <si>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</si>
  <si>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</si>
  <si>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</si>
  <si>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</si>
  <si>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</si>
  <si>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</si>
  <si>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</si>
  <si>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</si>
  <si>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</si>
  <si>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</si>
  <si>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</si>
  <si>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</si>
  <si>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</si>
  <si>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</si>
  <si>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</si>
  <si>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</si>
  <si>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</si>
  <si>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</si>
  <si>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</si>
  <si>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</si>
  <si>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</si>
  <si>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</si>
  <si>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</si>
  <si>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</si>
  <si>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</si>
  <si>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</si>
  <si>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</si>
  <si>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</si>
  <si>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</si>
  <si>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</si>
  <si>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</si>
  <si>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</si>
  <si>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</si>
  <si>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</si>
  <si>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</si>
  <si>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</si>
  <si>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</si>
  <si>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</si>
  <si>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</si>
  <si>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</si>
  <si>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</si>
  <si>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</si>
  <si>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</si>
  <si>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</si>
  <si>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</si>
  <si>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</si>
  <si>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</si>
  <si>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</si>
  <si>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</si>
  <si>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</si>
  <si>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</si>
  <si>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</si>
  <si>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</si>
  <si>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</si>
  <si>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</si>
  <si>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</si>
  <si>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</si>
  <si>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</si>
  <si>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</si>
  <si>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</si>
  <si>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</si>
  <si>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</si>
  <si>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</si>
  <si>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</si>
  <si>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</si>
  <si>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</si>
  <si>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</si>
  <si>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</si>
  <si>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</si>
  <si>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</si>
  <si>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</si>
  <si>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</si>
  <si>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</si>
  <si>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</si>
  <si>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</si>
  <si>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</si>
  <si>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</si>
  <si>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</si>
  <si>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</si>
  <si>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</si>
  <si>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</si>
  <si>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</si>
  <si>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</si>
  <si>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</si>
  <si>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</si>
  <si>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</si>
  <si>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</si>
  <si>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</si>
  <si>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</si>
  <si>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</si>
  <si>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</si>
  <si>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</si>
  <si>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</si>
  <si>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</si>
  <si>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</si>
  <si>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</si>
  <si>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</si>
  <si>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</si>
  <si>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</si>
  <si>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</si>
  <si>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</si>
  <si>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</si>
  <si>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</si>
  <si>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</si>
  <si>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</si>
  <si>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</si>
  <si>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</si>
  <si>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</si>
  <si>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</si>
  <si>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</si>
  <si>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</si>
  <si>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</si>
  <si>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</si>
  <si>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</si>
  <si>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</si>
  <si>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</si>
  <si>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</si>
  <si>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</si>
  <si>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</si>
  <si>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</si>
  <si>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</si>
  <si>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</si>
  <si>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</si>
  <si>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</si>
  <si>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</si>
  <si>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</si>
  <si>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</si>
  <si>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</si>
  <si>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</si>
  <si>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</si>
  <si>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</si>
  <si>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</si>
  <si>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</si>
  <si>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</si>
  <si>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</si>
  <si>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</si>
  <si>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</si>
  <si>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</si>
  <si>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</si>
  <si>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</si>
  <si>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</si>
  <si>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</si>
  <si>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</si>
  <si>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</si>
  <si>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</si>
  <si>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</si>
  <si>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</si>
  <si>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</si>
  <si>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</si>
  <si>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</si>
  <si>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</si>
  <si>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</si>
  <si>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</si>
  <si>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</si>
  <si>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</si>
  <si>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</si>
  <si>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</si>
  <si>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</si>
  <si>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</si>
  <si>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</si>
  <si>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</si>
  <si>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</si>
  <si>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</si>
  <si>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</si>
  <si>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</si>
  <si>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</si>
  <si>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</si>
  <si>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</si>
  <si>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</si>
  <si>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</si>
  <si>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</si>
  <si>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</si>
  <si>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</si>
  <si>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</si>
  <si>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</si>
  <si>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</si>
  <si>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</si>
  <si>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</si>
  <si>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</si>
  <si>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</si>
  <si>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</si>
  <si>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</si>
  <si>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</si>
  <si>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</si>
  <si>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</si>
  <si>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</si>
  <si>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</si>
  <si>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</si>
  <si>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</si>
  <si>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</si>
  <si>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</si>
  <si>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</si>
  <si>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</si>
  <si>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</si>
  <si>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</si>
  <si>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</si>
  <si>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</si>
  <si>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</si>
  <si>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</si>
  <si>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</si>
  <si>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</si>
  <si>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</si>
  <si>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</si>
  <si>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</si>
  <si>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</si>
  <si>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</si>
  <si>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</si>
  <si>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</si>
  <si>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</si>
  <si>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</si>
  <si>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</si>
  <si>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</si>
  <si>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</si>
  <si>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</si>
  <si>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</si>
  <si>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</si>
  <si>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</si>
  <si>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</si>
  <si>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</si>
  <si>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</si>
  <si>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</si>
  <si>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</si>
  <si>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</si>
  <si>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</si>
  <si>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</si>
  <si>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</si>
  <si>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</si>
  <si>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</si>
  <si>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</si>
  <si>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</si>
  <si>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</si>
  <si>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</si>
  <si>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</si>
  <si>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</si>
  <si>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</si>
  <si>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</si>
  <si>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</si>
  <si>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</si>
  <si>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</si>
  <si>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</si>
  <si>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</si>
  <si>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</si>
  <si>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</si>
  <si>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</si>
  <si>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</si>
  <si>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</si>
  <si>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</si>
  <si>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</si>
  <si>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</si>
  <si>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</si>
  <si>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</si>
  <si>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</si>
  <si>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</si>
  <si>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</si>
  <si>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</si>
  <si>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</si>
  <si>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</si>
  <si>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</si>
  <si>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</si>
  <si>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</si>
  <si>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</si>
  <si>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</si>
  <si>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</si>
  <si>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</si>
  <si>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</si>
  <si>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</si>
  <si>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</si>
  <si>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</si>
  <si>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</si>
  <si>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</si>
  <si>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</si>
  <si>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</si>
  <si>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</si>
  <si>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</si>
  <si>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</si>
  <si>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</si>
  <si>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</si>
  <si>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</si>
  <si>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</si>
  <si>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</si>
  <si>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</si>
  <si>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</si>
  <si>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</si>
  <si>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</si>
  <si>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</si>
  <si>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</si>
  <si>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</si>
  <si>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</si>
  <si>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</si>
  <si>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</si>
  <si>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</si>
  <si>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</si>
  <si>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</si>
  <si>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</si>
  <si>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</si>
  <si>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</si>
  <si>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</si>
  <si>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</si>
  <si>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</si>
  <si>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</si>
  <si>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</si>
  <si>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</si>
  <si>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</si>
  <si>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</si>
  <si>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</si>
  <si>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</si>
  <si>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</si>
  <si>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</si>
  <si>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</si>
  <si>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</si>
  <si>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</si>
  <si>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</si>
  <si>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</si>
  <si>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</si>
  <si>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</si>
  <si>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</si>
  <si>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</si>
  <si>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</si>
  <si>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</si>
  <si>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</si>
  <si>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</si>
  <si>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</si>
  <si>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</si>
  <si>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</si>
  <si>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</si>
  <si>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</si>
  <si>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</si>
  <si>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</si>
  <si>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</si>
  <si>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</si>
  <si>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</si>
  <si>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</si>
  <si>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</si>
  <si>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</si>
  <si>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</si>
  <si>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</si>
  <si>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</si>
  <si>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</si>
  <si>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</si>
  <si>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</si>
  <si>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</si>
  <si>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</si>
  <si>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</si>
  <si>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</si>
  <si>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</si>
  <si>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</si>
  <si>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</si>
  <si>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</si>
  <si>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</si>
  <si>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</si>
  <si>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</si>
  <si>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</si>
  <si>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</si>
  <si>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</si>
  <si>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</si>
  <si>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</si>
  <si>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</si>
  <si>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</si>
  <si>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</si>
  <si>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</si>
  <si>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</si>
  <si>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</si>
  <si>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</si>
  <si>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</si>
  <si>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</si>
  <si>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</si>
  <si>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</si>
  <si>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</si>
  <si>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</si>
  <si>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</si>
  <si>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</si>
  <si>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</si>
  <si>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</si>
  <si>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</si>
  <si>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</si>
  <si>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</si>
  <si>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</si>
  <si>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</si>
  <si>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</si>
  <si>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</si>
  <si>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</si>
  <si>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</si>
  <si>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</si>
  <si>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</si>
  <si>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</si>
  <si>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</si>
  <si>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</si>
  <si>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</si>
  <si>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</si>
  <si>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</si>
  <si>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</si>
  <si>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</si>
  <si>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</si>
  <si>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</si>
  <si>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</si>
  <si>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</si>
  <si>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</si>
  <si>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</si>
  <si>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</si>
  <si>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</si>
  <si>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</si>
  <si>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</si>
  <si>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</si>
  <si>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</si>
  <si>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</si>
  <si>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</si>
  <si>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</si>
  <si>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</si>
  <si>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</si>
  <si>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</si>
  <si>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</si>
  <si>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</si>
  <si>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</si>
  <si>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</si>
  <si>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</si>
  <si>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</si>
  <si>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</si>
  <si>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</si>
  <si>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</si>
  <si>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</si>
  <si>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</si>
  <si>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</si>
  <si>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</si>
  <si>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</si>
  <si>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</si>
  <si>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</si>
  <si>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</si>
  <si>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</si>
  <si>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</si>
  <si>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</si>
  <si>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</si>
  <si>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</si>
  <si>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</si>
  <si>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</si>
  <si>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</si>
  <si>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</si>
  <si>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</si>
  <si>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</si>
  <si>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</si>
  <si>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</si>
  <si>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</si>
  <si>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</si>
  <si>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</si>
  <si>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</si>
  <si>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</si>
  <si>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</si>
  <si>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</si>
  <si>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</si>
  <si>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</si>
  <si>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</si>
  <si>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</si>
  <si>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</si>
  <si>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</si>
  <si>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</si>
  <si>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</si>
  <si>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</si>
  <si>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</si>
  <si>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</si>
  <si>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</si>
  <si>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</si>
  <si>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</si>
  <si>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</si>
  <si>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</si>
  <si>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</si>
  <si>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</si>
  <si>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</si>
  <si>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</si>
  <si>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</si>
  <si>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</si>
  <si>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</si>
  <si>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</si>
  <si>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</si>
  <si>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</si>
  <si>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</si>
  <si>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</si>
  <si>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</si>
  <si>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</si>
  <si>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</si>
  <si>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</si>
  <si>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</si>
  <si>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</si>
  <si>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</si>
  <si>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</si>
  <si>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</si>
  <si>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</si>
  <si>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</si>
  <si>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</si>
  <si>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</si>
  <si>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</si>
  <si>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</si>
  <si>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</si>
  <si>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</si>
  <si>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</si>
  <si>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</si>
  <si>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</si>
  <si>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</si>
  <si>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</si>
  <si>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</si>
  <si>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</si>
  <si>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</si>
  <si>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</si>
  <si>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</si>
  <si>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</si>
  <si>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</si>
  <si>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</si>
  <si>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</si>
  <si>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</si>
  <si>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</si>
  <si>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</si>
  <si>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</si>
  <si>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</si>
  <si>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</si>
  <si>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</si>
  <si>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</si>
  <si>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</si>
  <si>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</si>
  <si>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</si>
  <si>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</si>
  <si>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</si>
  <si>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</si>
  <si>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</si>
  <si>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</si>
  <si>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</si>
  <si>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</si>
  <si>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</si>
  <si>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</si>
  <si>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</si>
  <si>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</si>
  <si>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</si>
  <si>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</si>
  <si>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</si>
  <si>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</si>
  <si>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</si>
  <si>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</si>
  <si>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</si>
  <si>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</si>
  <si>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</si>
  <si>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</si>
  <si>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</si>
  <si>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</si>
  <si>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</si>
  <si>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</si>
  <si>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</si>
  <si>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</si>
  <si>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</si>
  <si>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</si>
  <si>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</si>
  <si>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</si>
  <si>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</si>
  <si>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</si>
  <si>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</si>
  <si>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</si>
  <si>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</si>
  <si>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</si>
  <si>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</si>
  <si>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</si>
  <si>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</si>
  <si>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</si>
  <si>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</si>
  <si>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</si>
  <si>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</si>
  <si>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</si>
  <si>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</si>
  <si>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</si>
  <si>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</si>
  <si>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</si>
  <si>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</si>
  <si>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</si>
  <si>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</si>
  <si>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</si>
  <si>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</si>
  <si>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</si>
  <si>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</si>
  <si>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</si>
  <si>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</si>
  <si>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</si>
  <si>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</si>
  <si>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</si>
  <si>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</si>
  <si>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</si>
  <si>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</si>
  <si>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</si>
  <si>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</si>
  <si>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</si>
  <si>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</si>
  <si>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</si>
  <si>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</si>
  <si>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</si>
  <si>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</si>
  <si>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</si>
  <si>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</si>
  <si>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</si>
  <si>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</si>
  <si>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</si>
  <si>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</si>
  <si>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</si>
  <si>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</si>
  <si>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</si>
  <si>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</si>
  <si>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</si>
  <si>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</si>
  <si>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</si>
  <si>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</si>
  <si>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</si>
  <si>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</si>
  <si>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</si>
  <si>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</si>
  <si>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</si>
  <si>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</si>
  <si>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</si>
  <si>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</si>
  <si>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</si>
  <si>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</si>
  <si>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</si>
  <si>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</si>
  <si>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</si>
  <si>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</si>
  <si>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</si>
  <si>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</si>
  <si>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</si>
  <si>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</si>
  <si>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</si>
  <si>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</si>
  <si>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</si>
  <si>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</si>
  <si>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</si>
  <si>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</si>
  <si>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</si>
  <si>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</si>
  <si>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</si>
  <si>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</si>
  <si>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</si>
  <si>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</si>
  <si>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</si>
  <si>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</si>
  <si>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</si>
  <si>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</si>
  <si>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</si>
  <si>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</si>
  <si>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</si>
  <si>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</si>
  <si>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</si>
  <si>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</si>
  <si>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</si>
  <si>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</si>
  <si>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</si>
  <si>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</si>
  <si>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</si>
  <si>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</si>
  <si>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</si>
  <si>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</si>
  <si>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</si>
  <si>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</si>
  <si>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</si>
  <si>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</si>
  <si>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</si>
  <si>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</si>
  <si>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</si>
  <si>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</si>
  <si>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</si>
  <si>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</si>
  <si>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</si>
  <si>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</si>
  <si>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</si>
  <si>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</si>
  <si>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</si>
  <si>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</si>
  <si>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</si>
  <si>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</si>
  <si>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</si>
  <si>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</si>
  <si>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</si>
  <si>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</si>
  <si>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</si>
  <si>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</si>
  <si>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</si>
  <si>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</si>
  <si>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</si>
  <si>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</si>
  <si>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</si>
  <si>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</si>
  <si>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</si>
  <si>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</si>
  <si>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</si>
  <si>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</si>
  <si>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</si>
  <si>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</si>
  <si>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</si>
  <si>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</si>
  <si>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</si>
  <si>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</si>
  <si>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</si>
  <si>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</si>
  <si>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</si>
  <si>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</si>
  <si>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</si>
  <si>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</si>
  <si>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</si>
  <si>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</si>
  <si>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</si>
  <si>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</si>
  <si>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</si>
  <si>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</si>
  <si>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</si>
  <si>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</si>
  <si>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</si>
  <si>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</si>
  <si>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</si>
  <si>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</si>
  <si>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</si>
  <si>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</si>
  <si>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</si>
  <si>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</si>
  <si>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</si>
  <si>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</si>
  <si>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</si>
  <si>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</si>
  <si>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</si>
  <si>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</si>
  <si>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</si>
  <si>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</si>
  <si>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</si>
  <si>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</si>
  <si>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</si>
  <si>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</si>
  <si>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</si>
  <si>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</si>
  <si>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</si>
  <si>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</si>
  <si>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</si>
  <si>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</si>
  <si>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</si>
  <si>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</si>
  <si>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</si>
  <si>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</si>
  <si>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</si>
  <si>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</si>
  <si>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</si>
  <si>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</si>
  <si>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</si>
  <si>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</si>
  <si>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</si>
  <si>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</si>
  <si>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</si>
  <si>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</si>
  <si>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</si>
  <si>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</si>
  <si>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</si>
  <si>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</si>
  <si>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</si>
  <si>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</si>
  <si>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</si>
  <si>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</si>
  <si>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</si>
  <si>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</si>
  <si>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</si>
  <si>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</si>
  <si>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</si>
  <si>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</si>
  <si>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</si>
  <si>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</si>
  <si>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</si>
  <si>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</si>
  <si>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</si>
  <si>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</si>
  <si>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</si>
  <si>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</si>
  <si>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</si>
  <si>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</si>
  <si>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</si>
  <si>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</si>
  <si>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</si>
  <si>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</si>
  <si>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</si>
  <si>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</si>
  <si>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</si>
  <si>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</si>
  <si>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</si>
  <si>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</si>
  <si>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</si>
  <si>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</si>
  <si>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</si>
  <si>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</si>
  <si>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</si>
  <si>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</si>
  <si>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</si>
  <si>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</si>
  <si>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</si>
  <si>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</si>
  <si>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</si>
  <si>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</si>
  <si>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</si>
  <si>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</si>
  <si>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</si>
  <si>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</si>
  <si>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</si>
  <si>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</si>
  <si>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</si>
  <si>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</si>
  <si>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</si>
  <si>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</si>
  <si>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</si>
  <si>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</si>
  <si>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</si>
  <si>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</si>
  <si>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</si>
  <si>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</si>
  <si>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</si>
  <si>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</si>
  <si>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</si>
  <si>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</si>
  <si>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</si>
  <si>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</si>
  <si>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</si>
  <si>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</si>
  <si>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</si>
  <si>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</si>
  <si>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</si>
  <si>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</si>
  <si>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</si>
  <si>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</si>
  <si>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</si>
  <si>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</si>
  <si>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</si>
  <si>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</si>
  <si>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</si>
  <si>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</si>
  <si>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</si>
  <si>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</si>
  <si>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</si>
  <si>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</si>
  <si>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</si>
  <si>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</si>
  <si>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</si>
  <si>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</si>
  <si>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</si>
  <si>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</si>
  <si>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</si>
  <si>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</si>
  <si>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</si>
  <si>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</si>
  <si>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</si>
  <si>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</si>
  <si>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</si>
  <si>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</si>
  <si>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</si>
  <si>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</si>
  <si>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</si>
  <si>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</si>
  <si>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</si>
  <si>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</si>
  <si>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</si>
  <si>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</si>
  <si>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</si>
  <si>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</si>
  <si>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</si>
  <si>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</si>
  <si>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</si>
  <si>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</si>
  <si>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</si>
  <si>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</si>
  <si>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</si>
  <si>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</si>
  <si>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</si>
  <si>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</si>
  <si>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</si>
  <si>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</si>
  <si>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</si>
  <si>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</si>
  <si>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</si>
  <si>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</si>
  <si>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</si>
  <si>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</si>
  <si>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</si>
  <si>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</si>
  <si>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</si>
  <si>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</si>
  <si>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</si>
  <si>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</si>
  <si>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</si>
  <si>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</si>
  <si>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</si>
  <si>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</si>
  <si>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</si>
  <si>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</si>
  <si>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</si>
  <si>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</si>
  <si>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</si>
  <si>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</si>
  <si>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</si>
  <si>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</si>
  <si>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</si>
  <si>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</si>
  <si>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</si>
  <si>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</si>
  <si>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</si>
  <si>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</si>
  <si>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</si>
  <si>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</si>
  <si>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</si>
  <si>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</si>
  <si>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</si>
  <si>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</si>
  <si>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</si>
  <si>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</si>
  <si>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</si>
  <si>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</si>
  <si>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</si>
  <si>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</si>
  <si>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</si>
  <si>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</si>
  <si>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</si>
  <si>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</si>
  <si>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</si>
  <si>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</si>
  <si>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</si>
  <si>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</si>
  <si>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</si>
  <si>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</si>
  <si>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</si>
  <si>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</si>
  <si>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</si>
  <si>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</si>
  <si>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</si>
  <si>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</si>
  <si>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</si>
  <si>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</si>
  <si>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</si>
  <si>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</si>
  <si>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</si>
  <si>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</si>
  <si>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</si>
  <si>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</si>
  <si>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</si>
  <si>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</si>
  <si>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</si>
  <si>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</si>
  <si>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</si>
  <si>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</si>
  <si>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</si>
  <si>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</si>
  <si>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</si>
  <si>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</si>
  <si>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</si>
  <si>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</si>
  <si>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</si>
  <si>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</si>
  <si>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</si>
  <si>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</si>
  <si>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</si>
  <si>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</si>
  <si>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</si>
  <si>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</si>
  <si>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</si>
  <si>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</si>
  <si>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</si>
  <si>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</si>
  <si>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</si>
  <si>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</si>
  <si>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</si>
  <si>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</si>
  <si>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</si>
  <si>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</si>
  <si>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</si>
  <si>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</si>
  <si>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</si>
  <si>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</si>
  <si>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</si>
  <si>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</si>
  <si>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</si>
  <si>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</si>
  <si>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</si>
  <si>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</si>
  <si>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</si>
  <si>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</si>
  <si>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</si>
  <si>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</si>
  <si>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</si>
  <si>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</si>
  <si>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</si>
  <si>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</si>
  <si>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</si>
  <si>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</si>
  <si>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</si>
  <si>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</si>
  <si>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</si>
  <si>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</si>
  <si>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</si>
  <si>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</si>
  <si>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</si>
  <si>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</si>
  <si>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</si>
  <si>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</si>
  <si>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</si>
  <si>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</si>
  <si>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</si>
  <si>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</si>
  <si>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</si>
  <si>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</si>
  <si>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</si>
  <si>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</si>
  <si>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</si>
  <si>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</si>
  <si>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</si>
  <si>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</si>
  <si>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</si>
  <si>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</si>
  <si>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</si>
  <si>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</si>
  <si>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</si>
  <si>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</si>
  <si>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</si>
  <si>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</si>
  <si>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</si>
  <si>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</si>
  <si>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</si>
  <si>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</si>
  <si>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</si>
  <si>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</si>
  <si>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</si>
  <si>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</si>
  <si>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</si>
  <si>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</si>
  <si>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</si>
  <si>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</si>
  <si>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</si>
  <si>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</si>
  <si>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</si>
  <si>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</si>
  <si>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</si>
  <si>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</si>
  <si>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</si>
  <si>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</si>
  <si>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</si>
  <si>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</si>
  <si>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</si>
  <si>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</si>
  <si>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</si>
  <si>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</si>
  <si>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</si>
  <si>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</si>
  <si>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</si>
  <si>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</si>
  <si>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</si>
  <si>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</si>
  <si>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</si>
  <si>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</si>
  <si>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</si>
  <si>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</si>
  <si>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</si>
  <si>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</si>
  <si>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</si>
  <si>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</si>
  <si>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</si>
  <si>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</si>
  <si>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</si>
  <si>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</si>
  <si>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</si>
  <si>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</si>
  <si>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</si>
  <si>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</si>
  <si>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</si>
  <si>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</si>
  <si>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</si>
  <si>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</si>
  <si>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</si>
  <si>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</si>
  <si>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</si>
  <si>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</si>
  <si>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</si>
  <si>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</si>
  <si>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</si>
  <si>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</si>
  <si>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</si>
  <si>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</si>
  <si>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</si>
  <si>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</si>
  <si>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</si>
  <si>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</si>
  <si>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</si>
  <si>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</si>
  <si>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</si>
  <si>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</si>
  <si>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</si>
  <si>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</si>
  <si>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</si>
  <si>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</si>
  <si>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</si>
  <si>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</si>
  <si>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</si>
  <si>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</si>
  <si>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</si>
  <si>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</si>
  <si>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</si>
  <si>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</si>
  <si>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</si>
  <si>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</si>
  <si>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</si>
  <si>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</si>
  <si>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</si>
  <si>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</si>
  <si>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</si>
  <si>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</si>
  <si>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</si>
  <si>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</si>
  <si>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</si>
  <si>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</si>
  <si>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</si>
  <si>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</si>
  <si>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</si>
  <si>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</si>
  <si>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</si>
  <si>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</si>
  <si>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</si>
  <si>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</si>
  <si>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</si>
  <si>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</si>
  <si>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</si>
  <si>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</si>
  <si>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</si>
  <si>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</si>
  <si>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</si>
  <si>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</si>
  <si>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</si>
  <si>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</si>
  <si>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</si>
  <si>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</si>
  <si>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</si>
  <si>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</si>
  <si>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</si>
  <si>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</si>
  <si>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</si>
  <si>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</si>
  <si>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</si>
  <si>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</si>
  <si>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</si>
  <si>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</si>
  <si>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</si>
  <si>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</si>
  <si>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</si>
  <si>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</si>
  <si>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</si>
  <si>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</si>
  <si>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</si>
  <si>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</si>
  <si>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</si>
  <si>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</si>
  <si>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</si>
  <si>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</si>
  <si>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</si>
  <si>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</si>
  <si>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</si>
  <si>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</si>
  <si>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</si>
  <si>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</si>
  <si>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</si>
  <si>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</si>
  <si>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</si>
  <si>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</si>
  <si>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</si>
  <si>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</si>
  <si>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</si>
  <si>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</si>
  <si>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</si>
  <si>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</si>
  <si>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</si>
  <si>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</si>
  <si>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</si>
  <si>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</si>
  <si>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</si>
  <si>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</si>
  <si>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</si>
  <si>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</si>
  <si>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</si>
  <si>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</si>
  <si>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</si>
  <si>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</si>
  <si>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</si>
  <si>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</si>
  <si>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</si>
  <si>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</si>
  <si>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</si>
  <si>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</si>
  <si>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</si>
  <si>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</si>
  <si>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</si>
  <si>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</si>
  <si>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</si>
  <si>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</si>
  <si>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</si>
  <si>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</si>
  <si>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</si>
  <si>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</si>
  <si>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</si>
  <si>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</si>
  <si>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</si>
  <si>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</si>
  <si>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</si>
  <si>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</si>
  <si>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</si>
  <si>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</si>
  <si>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</si>
  <si>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</si>
  <si>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</si>
  <si>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</si>
  <si>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</si>
  <si>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</si>
  <si>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</si>
  <si>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</si>
  <si>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</si>
  <si>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</si>
  <si>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</si>
  <si>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</si>
  <si>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</si>
  <si>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</si>
  <si>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</si>
  <si>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</si>
  <si>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</si>
  <si>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</si>
  <si>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</si>
  <si>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</si>
  <si>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</si>
  <si>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</si>
  <si>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</si>
  <si>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</si>
  <si>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</si>
  <si>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</si>
  <si>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</si>
  <si>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</si>
  <si>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</si>
  <si>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</si>
  <si>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</si>
  <si>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</si>
  <si>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</si>
  <si>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</si>
  <si>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</si>
  <si>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</si>
  <si>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</si>
  <si>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</si>
  <si>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</si>
  <si>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</si>
  <si>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</si>
  <si>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</si>
  <si>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</si>
  <si>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</si>
  <si>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</si>
  <si>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</si>
  <si>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</si>
  <si>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</si>
  <si>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</si>
  <si>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</si>
  <si>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</si>
  <si>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</si>
  <si>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</si>
  <si>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</si>
  <si>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</si>
  <si>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</si>
  <si>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</si>
  <si>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</si>
  <si>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</si>
  <si>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</si>
  <si>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</si>
  <si>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</si>
  <si>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</si>
  <si>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</si>
  <si>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</si>
  <si>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</si>
  <si>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</si>
  <si>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</si>
  <si>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</si>
  <si>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</si>
  <si>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</si>
  <si>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</si>
  <si>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</si>
  <si>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</si>
  <si>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</si>
  <si>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</si>
  <si>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</si>
  <si>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</si>
  <si>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</si>
  <si>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</si>
  <si>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</si>
  <si>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</si>
  <si>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</si>
  <si>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</si>
  <si>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</si>
  <si>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</si>
  <si>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</si>
  <si>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</si>
  <si>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</si>
  <si>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</si>
  <si>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</si>
  <si>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</si>
  <si>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</si>
  <si>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</si>
  <si>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</si>
  <si>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</si>
  <si>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</si>
  <si>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</si>
  <si>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</si>
  <si>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</si>
  <si>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</si>
  <si>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</si>
  <si>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</si>
  <si>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</si>
  <si>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</si>
  <si>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</si>
  <si>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</si>
  <si>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</si>
  <si>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</si>
  <si>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</si>
  <si>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</si>
  <si>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</si>
  <si>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</si>
  <si>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</si>
  <si>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</si>
  <si>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</si>
  <si>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</si>
  <si>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</si>
  <si>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</si>
  <si>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</si>
  <si>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</si>
  <si>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</si>
  <si>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</si>
  <si>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</si>
  <si>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</si>
  <si>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</si>
  <si>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</si>
  <si>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</si>
  <si>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</si>
  <si>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</si>
  <si>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</si>
  <si>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</si>
  <si>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</si>
  <si>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</si>
  <si>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</si>
  <si>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</si>
  <si>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</si>
  <si>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</si>
  <si>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</si>
  <si>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</si>
  <si>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</si>
  <si>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</si>
  <si>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</si>
  <si>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</si>
  <si>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</si>
  <si>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</si>
  <si>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</si>
  <si>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</si>
  <si>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</si>
  <si>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</si>
  <si>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</si>
  <si>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</si>
  <si>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</si>
  <si>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</si>
  <si>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</si>
  <si>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</si>
  <si>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</si>
  <si>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</si>
  <si>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</si>
  <si>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</si>
  <si>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</si>
  <si>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</si>
  <si>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</si>
  <si>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</si>
  <si>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</si>
  <si>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</si>
  <si>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</si>
  <si>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</si>
  <si>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</si>
  <si>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</si>
  <si>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</si>
  <si>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</si>
  <si>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</si>
  <si>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</si>
  <si>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</si>
  <si>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</si>
  <si>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</si>
  <si>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</si>
  <si>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</si>
  <si>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</si>
  <si>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</si>
  <si>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</si>
  <si>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</si>
  <si>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</si>
  <si>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</si>
  <si>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</si>
  <si>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</si>
  <si>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</si>
  <si>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</si>
  <si>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</si>
  <si>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</si>
  <si>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</si>
  <si>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</si>
  <si>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</si>
  <si>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</si>
  <si>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</si>
  <si>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</si>
  <si>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</si>
  <si>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</si>
  <si>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</si>
  <si>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</si>
  <si>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</si>
  <si>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</si>
  <si>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</si>
  <si>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</si>
  <si>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</si>
  <si>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</si>
  <si>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</si>
  <si>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</si>
  <si>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</si>
  <si>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</si>
  <si>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</si>
  <si>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</si>
  <si>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</si>
  <si>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</si>
  <si>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</si>
  <si>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</si>
  <si>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</si>
  <si>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</si>
  <si>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</si>
  <si>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</si>
  <si>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</si>
  <si>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</si>
  <si>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</si>
  <si>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</si>
  <si>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</si>
  <si>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</si>
  <si>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</si>
  <si>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</si>
  <si>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</si>
  <si>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</si>
  <si>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</si>
  <si>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</si>
  <si>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</si>
  <si>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</si>
  <si>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</si>
  <si>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</si>
  <si>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</si>
  <si>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</si>
  <si>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</si>
  <si>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</si>
  <si>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</si>
  <si>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</si>
  <si>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</si>
  <si>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</si>
  <si>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</si>
  <si>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</si>
  <si>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</si>
  <si>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</si>
  <si>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</si>
  <si>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</si>
  <si>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</si>
  <si>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</si>
  <si>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</si>
  <si>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</si>
  <si>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</si>
  <si>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</si>
  <si>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</si>
  <si>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</si>
  <si>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</si>
  <si>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</si>
  <si>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</si>
  <si>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</si>
  <si>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</si>
  <si>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</si>
  <si>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</si>
  <si>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</si>
  <si>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</si>
  <si>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</si>
  <si>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</si>
  <si>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</si>
  <si>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</si>
  <si>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</si>
  <si>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</si>
  <si>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</si>
  <si>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</si>
  <si>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</si>
  <si>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</si>
  <si>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</si>
  <si>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</si>
  <si>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</si>
  <si>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</si>
  <si>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</si>
  <si>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</si>
  <si>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</si>
  <si>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</si>
  <si>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</si>
  <si>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</si>
  <si>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</si>
  <si>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</si>
  <si>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</si>
  <si>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</si>
  <si>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</si>
  <si>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</si>
  <si>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</si>
  <si>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</si>
  <si>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</si>
  <si>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</si>
  <si>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</si>
  <si>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</si>
  <si>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</si>
  <si>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</si>
  <si>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</si>
  <si>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</si>
  <si>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</si>
  <si>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</si>
  <si>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</si>
  <si>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</si>
  <si>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</si>
  <si>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</si>
  <si>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</si>
  <si>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</si>
  <si>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</si>
  <si>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</si>
  <si>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</si>
  <si>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</si>
  <si>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</si>
  <si>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</si>
  <si>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</si>
  <si>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</si>
  <si>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</si>
  <si>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</si>
  <si>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</si>
  <si>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</si>
  <si>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</si>
  <si>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</si>
  <si>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</si>
  <si>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</si>
  <si>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</si>
  <si>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</si>
  <si>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</si>
  <si>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</si>
  <si>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</si>
  <si>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</si>
  <si>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</si>
  <si>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</si>
  <si>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</si>
  <si>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</si>
  <si>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</si>
  <si>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</si>
  <si>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</si>
  <si>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</si>
  <si>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</si>
  <si>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</si>
  <si>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</si>
  <si>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</si>
  <si>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</si>
  <si>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</si>
  <si>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</si>
  <si>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</si>
  <si>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</si>
  <si>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</si>
  <si>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</si>
  <si>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</si>
  <si>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</si>
  <si>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</si>
  <si>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</si>
  <si>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</si>
  <si>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</si>
  <si>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</si>
  <si>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</si>
  <si>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</si>
  <si>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</si>
  <si>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</si>
  <si>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</si>
  <si>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</si>
  <si>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</si>
  <si>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</si>
  <si>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</si>
  <si>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</si>
  <si>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</si>
  <si>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</si>
  <si>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</si>
  <si>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</si>
  <si>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</si>
  <si>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</si>
  <si>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</si>
  <si>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</si>
  <si>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</si>
  <si>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</si>
  <si>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</si>
  <si>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</si>
  <si>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</si>
  <si>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</si>
  <si>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</si>
  <si>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</si>
  <si>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</si>
  <si>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</si>
  <si>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</si>
  <si>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</si>
  <si>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</si>
  <si>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</si>
  <si>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</si>
  <si>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</si>
  <si>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</si>
  <si>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</si>
  <si>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</si>
  <si>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</si>
  <si>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</si>
  <si>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</si>
  <si>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</si>
  <si>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</si>
  <si>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</si>
  <si>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</si>
  <si>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</si>
  <si>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</si>
  <si>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</si>
  <si>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</si>
  <si>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</si>
  <si>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</si>
  <si>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</si>
  <si>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</si>
  <si>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</si>
  <si>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</si>
  <si>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</si>
  <si>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</si>
  <si>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</si>
  <si>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</si>
  <si>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</si>
  <si>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</si>
  <si>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</si>
  <si>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</si>
  <si>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</si>
  <si>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</si>
  <si>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</si>
  <si>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</si>
  <si>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</si>
  <si>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</si>
  <si>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</si>
  <si>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</si>
  <si>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</si>
  <si>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</si>
  <si>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</si>
  <si>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</si>
  <si>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</si>
  <si>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</si>
  <si>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</si>
  <si>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</si>
  <si>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</si>
  <si>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</si>
  <si>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</si>
  <si>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</si>
  <si>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</si>
  <si>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</si>
  <si>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</si>
  <si>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</si>
  <si>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</si>
  <si>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</si>
  <si>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</si>
  <si>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</si>
  <si>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</si>
  <si>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</si>
  <si>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</si>
  <si>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</si>
  <si>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</si>
  <si>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</si>
  <si>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</si>
  <si>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</si>
  <si>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</si>
  <si>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</si>
  <si>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</si>
  <si>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</si>
  <si>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</si>
  <si>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</si>
  <si>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</si>
  <si>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</si>
  <si>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</si>
  <si>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</si>
  <si>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</si>
  <si>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</si>
  <si>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</si>
  <si>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</si>
  <si>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</si>
  <si>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</si>
  <si>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</si>
  <si>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</si>
  <si>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</si>
  <si>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</si>
  <si>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</si>
  <si>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</si>
  <si>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</si>
  <si>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</si>
  <si>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</si>
  <si>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</si>
  <si>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</si>
  <si>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</si>
  <si>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</si>
  <si>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</si>
  <si>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</si>
  <si>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</si>
  <si>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</si>
  <si>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</si>
  <si>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</si>
  <si>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</si>
  <si>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</si>
  <si>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</si>
  <si>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</si>
  <si>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</si>
  <si>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</si>
  <si>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</si>
  <si>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</si>
  <si>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</si>
  <si>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</si>
  <si>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</si>
  <si>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</si>
  <si>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</si>
  <si>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</si>
  <si>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</si>
  <si>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</si>
  <si>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</si>
  <si>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</si>
  <si>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</si>
  <si>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</si>
  <si>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</si>
  <si>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</si>
  <si>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</si>
  <si>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</si>
  <si>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</si>
  <si>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</si>
  <si>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</si>
  <si>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</si>
  <si>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</si>
  <si>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</si>
  <si>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</si>
  <si>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</si>
  <si>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</si>
  <si>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</si>
  <si>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</si>
  <si>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</si>
  <si>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</si>
  <si>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</si>
  <si>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</si>
  <si>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</si>
  <si>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</si>
  <si>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</si>
  <si>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</si>
  <si>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</si>
  <si>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</si>
  <si>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</si>
  <si>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</si>
  <si>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</si>
  <si>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</si>
  <si>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</si>
  <si>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</si>
  <si>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</si>
  <si>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</si>
  <si>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</si>
  <si>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</si>
  <si>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</si>
  <si>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</si>
  <si>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</si>
  <si>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</si>
  <si>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</si>
  <si>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</si>
  <si>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</si>
  <si>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</si>
  <si>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</si>
  <si>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</si>
  <si>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</si>
  <si>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</si>
  <si>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</si>
  <si>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</si>
  <si>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</si>
  <si>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</si>
  <si>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</si>
  <si>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</si>
  <si>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</si>
  <si>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</si>
  <si>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</si>
  <si>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</si>
  <si>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</si>
  <si>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</si>
  <si>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</si>
  <si>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</si>
  <si>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</si>
  <si>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</si>
  <si>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</si>
  <si>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</si>
  <si>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</si>
  <si>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</si>
  <si>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</si>
  <si>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</si>
  <si>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</si>
  <si>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</si>
  <si>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</si>
  <si>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</si>
  <si>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</si>
  <si>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</si>
  <si>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</si>
  <si>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</si>
  <si>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</si>
  <si>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</si>
  <si>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</si>
  <si>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</si>
  <si>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</si>
  <si>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</si>
  <si>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</si>
  <si>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</si>
  <si>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</si>
  <si>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</si>
  <si>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</si>
  <si>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</si>
  <si>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</si>
  <si>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</si>
  <si>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</si>
  <si>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</si>
  <si>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</si>
  <si>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</si>
  <si>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</si>
  <si>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</si>
  <si>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</si>
  <si>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</si>
  <si>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</si>
  <si>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</si>
  <si>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</si>
  <si>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</si>
  <si>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</si>
  <si>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</si>
  <si>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</si>
  <si>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</si>
  <si>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</si>
  <si>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</si>
  <si>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</si>
  <si>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</si>
  <si>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</si>
  <si>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</si>
  <si>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</si>
  <si>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</si>
  <si>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</si>
  <si>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</si>
  <si>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</si>
  <si>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</si>
  <si>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</si>
  <si>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</si>
  <si>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</si>
  <si>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</si>
  <si>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</si>
  <si>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</si>
  <si>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</si>
  <si>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</si>
  <si>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</si>
  <si>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</si>
  <si>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</si>
  <si>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</si>
  <si>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</si>
  <si>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</si>
  <si>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</si>
  <si>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</si>
  <si>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</si>
  <si>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</si>
  <si>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</si>
  <si>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</si>
  <si>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</si>
  <si>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</si>
  <si>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</si>
  <si>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</si>
  <si>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</si>
  <si>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</si>
  <si>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</si>
  <si>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</si>
  <si>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</si>
  <si>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</si>
  <si>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</si>
  <si>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</si>
  <si>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</si>
  <si>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</si>
  <si>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</si>
  <si>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</si>
  <si>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</si>
  <si>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</si>
  <si>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</si>
  <si>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</si>
  <si>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</si>
  <si>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</si>
  <si>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</si>
  <si>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</si>
  <si>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</si>
  <si>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</si>
  <si>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</si>
  <si>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</si>
  <si>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</si>
  <si>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</si>
  <si>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</si>
  <si>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</si>
  <si>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</si>
  <si>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</si>
  <si>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</si>
  <si>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</si>
  <si>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</si>
  <si>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</si>
  <si>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</si>
  <si>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</si>
  <si>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</si>
  <si>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</si>
  <si>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</si>
  <si>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</si>
  <si>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</si>
  <si>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</si>
  <si>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</si>
  <si>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</si>
  <si>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</si>
  <si>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</si>
  <si>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</si>
  <si>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</si>
  <si>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</si>
  <si>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</si>
  <si>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</si>
  <si>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</si>
  <si>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</si>
  <si>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</si>
  <si>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</si>
  <si>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</si>
  <si>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</si>
  <si>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</si>
  <si>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</si>
  <si>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</si>
  <si>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</si>
  <si>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</si>
  <si>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</si>
  <si>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</si>
  <si>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</si>
  <si>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</si>
  <si>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</si>
  <si>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</si>
  <si>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</si>
  <si>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</si>
  <si>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</si>
  <si>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</si>
  <si>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</si>
  <si>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</si>
  <si>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</si>
  <si>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</si>
  <si>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</si>
  <si>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</si>
  <si>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</si>
  <si>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</si>
  <si>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</si>
  <si>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</si>
  <si>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</si>
  <si>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</si>
  <si>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</si>
  <si>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</si>
  <si>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</si>
  <si>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</si>
  <si>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</si>
  <si>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</si>
  <si>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</si>
  <si>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</si>
  <si>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</si>
  <si>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</si>
  <si>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</si>
  <si>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</si>
  <si>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</si>
  <si>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</si>
  <si>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</si>
  <si>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</si>
  <si>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</si>
  <si>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</si>
  <si>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</si>
  <si>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</si>
  <si>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</si>
  <si>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</si>
  <si>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</si>
  <si>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</si>
  <si>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</si>
  <si>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</si>
  <si>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</si>
  <si>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</si>
  <si>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</si>
  <si>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</si>
  <si>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</si>
  <si>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</si>
  <si>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</si>
  <si>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</si>
  <si>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</si>
  <si>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</si>
  <si>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</si>
  <si>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</si>
  <si>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</si>
  <si>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</si>
  <si>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</si>
  <si>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</si>
  <si>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</si>
  <si>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</si>
  <si>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</si>
  <si>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</si>
  <si>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</si>
  <si>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</si>
  <si>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</si>
  <si>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</si>
  <si>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</si>
  <si>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</si>
  <si>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</si>
  <si>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</si>
  <si>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</si>
  <si>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</si>
  <si>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</si>
  <si>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</si>
  <si>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</si>
  <si>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</si>
  <si>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</si>
  <si>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</si>
  <si>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</si>
  <si>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</si>
  <si>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</si>
  <si>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</si>
  <si>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</si>
  <si>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</si>
  <si>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</si>
  <si>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</si>
  <si>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</si>
  <si>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</si>
  <si>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</si>
  <si>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</si>
  <si>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</si>
  <si>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</si>
  <si>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</si>
  <si>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</si>
  <si>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</si>
  <si>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</si>
  <si>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</si>
  <si>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</si>
  <si>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</si>
  <si>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</si>
  <si>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</si>
  <si>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</si>
  <si>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</si>
  <si>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</si>
  <si>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</si>
  <si>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</si>
  <si>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</si>
  <si>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</si>
  <si>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</si>
  <si>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</si>
  <si>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</si>
  <si>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</si>
  <si>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</si>
  <si>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</si>
  <si>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</si>
  <si>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</si>
  <si>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</si>
  <si>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</si>
  <si>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</si>
  <si>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</si>
  <si>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</si>
  <si>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</si>
  <si>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</si>
  <si>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</si>
  <si>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</si>
  <si>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</si>
  <si>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</si>
  <si>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</si>
  <si>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</si>
  <si>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</si>
  <si>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</si>
  <si>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</si>
  <si>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</si>
  <si>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</si>
  <si>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</si>
  <si>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</si>
  <si>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</si>
  <si>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</si>
  <si>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</si>
  <si>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</si>
  <si>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</si>
  <si>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</si>
  <si>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</si>
  <si>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</si>
  <si>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</si>
  <si>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</si>
  <si>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</si>
  <si>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</si>
  <si>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</si>
  <si>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</si>
  <si>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</si>
  <si>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</si>
  <si>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</si>
  <si>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</si>
  <si>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</si>
  <si>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</si>
  <si>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</si>
  <si>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</si>
  <si>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</si>
  <si>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</si>
  <si>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</si>
  <si>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</si>
  <si>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</si>
  <si>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</si>
  <si>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</si>
  <si>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</si>
  <si>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</si>
  <si>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</si>
  <si>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</si>
  <si>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</si>
  <si>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</si>
  <si>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</si>
  <si>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</si>
  <si>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</si>
  <si>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</si>
  <si>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</si>
  <si>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</si>
  <si>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</si>
  <si>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</si>
  <si>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</si>
  <si>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</si>
  <si>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</si>
  <si>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</si>
  <si>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</si>
  <si>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</si>
  <si>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</si>
  <si>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</si>
  <si>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</si>
  <si>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</si>
  <si>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</si>
  <si>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</si>
  <si>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</si>
  <si>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</si>
  <si>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</si>
  <si>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</si>
  <si>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</si>
  <si>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</si>
  <si>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</si>
  <si>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</si>
  <si>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</si>
  <si>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</si>
  <si>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</si>
  <si>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</si>
  <si>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</si>
  <si>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</si>
  <si>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</si>
  <si>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</si>
  <si>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</si>
  <si>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</si>
  <si>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</si>
  <si>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</si>
  <si>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</si>
  <si>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</si>
  <si>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</si>
  <si>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</si>
  <si>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</si>
  <si>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</si>
  <si>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</si>
  <si>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</si>
  <si>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</si>
  <si>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</si>
  <si>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</si>
  <si>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</si>
  <si>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</si>
  <si>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</si>
  <si>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</si>
  <si>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</si>
  <si>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</si>
  <si>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</si>
  <si>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</si>
  <si>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</si>
  <si>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</si>
  <si>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</si>
  <si>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</si>
  <si>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</si>
  <si>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</si>
  <si>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</si>
  <si>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</si>
  <si>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</si>
  <si>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</si>
  <si>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</si>
  <si>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</si>
  <si>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</si>
  <si>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</si>
  <si>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</si>
  <si>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</si>
  <si>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</si>
  <si>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</si>
  <si>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</si>
  <si>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</si>
  <si>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</si>
  <si>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</si>
  <si>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</si>
  <si>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</si>
  <si>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</si>
  <si>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</si>
  <si>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</si>
  <si>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</si>
  <si>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</si>
  <si>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</si>
  <si>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</si>
  <si>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</si>
  <si>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</si>
  <si>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</si>
  <si>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</si>
  <si>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</si>
  <si>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</si>
  <si>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</si>
  <si>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</si>
  <si>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</si>
  <si>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</si>
  <si>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</si>
  <si>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</si>
  <si>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</si>
  <si>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</si>
  <si>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</si>
  <si>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</si>
  <si>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</si>
  <si>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</si>
  <si>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</si>
  <si>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</si>
  <si>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</si>
  <si>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</si>
  <si>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</si>
  <si>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</si>
  <si>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</si>
  <si>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</si>
  <si>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</si>
  <si>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</si>
  <si>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</si>
  <si>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</si>
  <si>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</si>
  <si>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</si>
  <si>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</si>
  <si>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</si>
  <si>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</si>
  <si>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</si>
  <si>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</si>
  <si>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</si>
  <si>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</si>
  <si>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</si>
  <si>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</si>
  <si>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</si>
  <si>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</si>
  <si>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</si>
  <si>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</si>
  <si>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</si>
  <si>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</si>
  <si>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</si>
  <si>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</si>
  <si>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</si>
  <si>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</si>
  <si>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</si>
  <si>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</si>
  <si>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</si>
  <si>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</si>
  <si>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</si>
  <si>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</si>
  <si>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</si>
  <si>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</si>
  <si>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</si>
  <si>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</si>
  <si>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</si>
  <si>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</si>
  <si>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</si>
  <si>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</si>
  <si>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</si>
  <si>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</si>
  <si>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</si>
  <si>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</si>
  <si>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</si>
  <si>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</si>
  <si>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</si>
  <si>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</si>
  <si>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</si>
  <si>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</si>
  <si>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</si>
  <si>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</si>
  <si>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</si>
  <si>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</si>
  <si>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</si>
  <si>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</si>
  <si>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</si>
  <si>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</si>
  <si>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</si>
  <si>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</si>
  <si>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</si>
  <si>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</si>
  <si>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</si>
  <si>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</si>
  <si>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</si>
  <si>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</si>
  <si>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</si>
  <si>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</si>
  <si>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</si>
  <si>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</si>
  <si>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</si>
  <si>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</si>
  <si>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</si>
  <si>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</si>
  <si>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</si>
  <si>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</si>
  <si>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</si>
  <si>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</si>
  <si>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</si>
  <si>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</si>
  <si>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</si>
  <si>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</si>
  <si>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</si>
  <si>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</si>
  <si>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</si>
  <si>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</si>
  <si>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</si>
  <si>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</si>
  <si>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</si>
  <si>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</si>
  <si>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</si>
  <si>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</si>
  <si>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</si>
  <si>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</si>
  <si>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</si>
  <si>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</si>
  <si>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</si>
  <si>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</si>
  <si>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</si>
  <si>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</si>
  <si>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</si>
  <si>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</si>
  <si>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</si>
  <si>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</si>
  <si>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</si>
  <si>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</si>
  <si>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</si>
  <si>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</si>
  <si>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</si>
  <si>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</si>
  <si>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</si>
  <si>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</si>
  <si>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</si>
  <si>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</si>
  <si>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</si>
  <si>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</si>
  <si>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</si>
  <si>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</si>
  <si>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</si>
  <si>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</si>
  <si>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</si>
  <si>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</si>
  <si>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</si>
  <si>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</si>
  <si>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</si>
  <si>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</si>
  <si>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</si>
  <si>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</si>
  <si>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</si>
  <si>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</si>
  <si>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</si>
  <si>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</si>
  <si>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</si>
  <si>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</si>
  <si>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</si>
  <si>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</si>
  <si>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</si>
  <si>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</si>
  <si>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</si>
  <si>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</si>
  <si>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</si>
  <si>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</si>
  <si>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</si>
  <si>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</si>
  <si>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</si>
  <si>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</si>
  <si>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</si>
  <si>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</si>
  <si>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</si>
  <si>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</si>
  <si>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</si>
  <si>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</si>
  <si>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</si>
  <si>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</si>
  <si>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</si>
  <si>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</si>
  <si>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</si>
  <si>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</si>
  <si>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</si>
  <si>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</si>
  <si>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</si>
  <si>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</si>
  <si>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</si>
  <si>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</si>
  <si>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</si>
  <si>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</si>
  <si>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</si>
  <si>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</si>
  <si>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</si>
  <si>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</si>
  <si>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</si>
  <si>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</si>
  <si>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</si>
  <si>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</si>
  <si>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</si>
  <si>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</si>
  <si>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</si>
  <si>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</si>
  <si>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</si>
  <si>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</si>
  <si>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</si>
  <si>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</si>
  <si>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</si>
  <si>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</si>
  <si>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</si>
  <si>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</si>
  <si>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</si>
  <si>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</si>
  <si>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</si>
  <si>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</si>
  <si>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</si>
  <si>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</si>
  <si>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</si>
  <si>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</si>
  <si>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</si>
  <si>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</si>
  <si>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</si>
  <si>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</si>
  <si>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</si>
  <si>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</si>
  <si>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</si>
  <si>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</si>
  <si>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</si>
  <si>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</si>
  <si>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</si>
  <si>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</si>
  <si>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</si>
  <si>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</si>
  <si>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</si>
  <si>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</si>
  <si>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</si>
  <si>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</si>
  <si>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</si>
  <si>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</si>
  <si>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</si>
  <si>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</si>
  <si>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</si>
  <si>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</si>
  <si>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</si>
  <si>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</si>
  <si>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</si>
  <si>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</si>
  <si>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</si>
  <si>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</si>
  <si>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</si>
  <si>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</si>
  <si>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</si>
  <si>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</si>
  <si>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</si>
  <si>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</si>
  <si>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</si>
  <si>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</si>
  <si>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</si>
  <si>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</si>
  <si>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</si>
  <si>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</si>
  <si>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</si>
  <si>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</si>
  <si>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</si>
  <si>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</si>
  <si>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</si>
  <si>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</si>
  <si>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</si>
  <si>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</si>
  <si>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</si>
  <si>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</si>
  <si>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</si>
  <si>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</si>
  <si>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</si>
  <si>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</si>
  <si>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</si>
  <si>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</si>
  <si>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</si>
  <si>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</si>
  <si>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</si>
  <si>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</si>
  <si>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</si>
  <si>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</si>
  <si>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</si>
  <si>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</si>
  <si>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</si>
  <si>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</si>
  <si>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</si>
  <si>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</si>
  <si>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</si>
  <si>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</si>
  <si>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</si>
  <si>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</si>
  <si>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</si>
  <si>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</si>
  <si>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</si>
  <si>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</si>
  <si>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</si>
  <si>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</si>
  <si>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</si>
  <si>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</si>
  <si>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</si>
  <si>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</si>
  <si>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</si>
  <si>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</si>
  <si>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</si>
  <si>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</si>
  <si>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</si>
  <si>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</si>
  <si>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</si>
  <si>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</si>
  <si>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</si>
  <si>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</si>
  <si>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</si>
  <si>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</si>
  <si>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</si>
  <si>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</si>
  <si>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</si>
  <si>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</si>
  <si>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</si>
  <si>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</si>
  <si>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</si>
  <si>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</si>
  <si>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</si>
  <si>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</si>
  <si>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</si>
  <si>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</si>
  <si>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</si>
  <si>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</si>
  <si>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</si>
  <si>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</si>
  <si>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</si>
  <si>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</si>
  <si>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</si>
  <si>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</si>
  <si>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</si>
  <si>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</si>
  <si>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</si>
  <si>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</si>
  <si>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</si>
  <si>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</si>
  <si>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</si>
  <si>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</si>
  <si>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</si>
  <si>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</si>
  <si>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</si>
  <si>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</si>
  <si>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</si>
  <si>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</si>
  <si>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</si>
  <si>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</si>
  <si>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</si>
  <si>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</si>
  <si>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</si>
  <si>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</si>
  <si>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</si>
  <si>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</si>
  <si>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</si>
  <si>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</si>
  <si>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</si>
  <si>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</si>
  <si>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</si>
  <si>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</si>
  <si>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</si>
  <si>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</si>
  <si>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</si>
  <si>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</si>
  <si>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</si>
  <si>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</si>
  <si>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</si>
  <si>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</si>
  <si>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</si>
  <si>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</si>
  <si>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</si>
  <si>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</si>
  <si>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</si>
  <si>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</si>
  <si>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</si>
  <si>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</si>
  <si>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</si>
  <si>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</si>
  <si>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</si>
  <si>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</si>
  <si>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</si>
  <si>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</si>
  <si>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</si>
  <si>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</si>
  <si>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</si>
  <si>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</si>
  <si>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</si>
  <si>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</si>
  <si>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</si>
  <si>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</si>
  <si>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</si>
  <si>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</si>
  <si>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</si>
  <si>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</si>
  <si>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</si>
  <si>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</si>
  <si>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</si>
  <si>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</si>
  <si>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</si>
  <si>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</si>
  <si>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</si>
  <si>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</si>
  <si>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</si>
  <si>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</si>
  <si>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</si>
  <si>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</si>
  <si>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</si>
  <si>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</si>
  <si>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</si>
  <si>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</si>
  <si>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</si>
  <si>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</si>
  <si>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</si>
  <si>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</si>
  <si>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</si>
  <si>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</si>
  <si>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</si>
  <si>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</si>
  <si>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</si>
  <si>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</si>
  <si>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</si>
  <si>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</si>
  <si>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</si>
  <si>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</si>
  <si>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</si>
  <si>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</si>
  <si>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</si>
  <si>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</si>
  <si>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</si>
  <si>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</si>
  <si>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</si>
  <si>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</si>
  <si>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</si>
  <si>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</si>
  <si>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</si>
  <si>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</si>
  <si>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</si>
  <si>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</si>
  <si>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</si>
  <si>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</si>
  <si>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</si>
  <si>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</si>
  <si>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</si>
  <si>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</si>
  <si>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</si>
  <si>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</si>
  <si>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</si>
  <si>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</si>
  <si>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</si>
  <si>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</si>
  <si>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</si>
  <si>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</si>
  <si>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</si>
  <si>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</si>
  <si>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</si>
  <si>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</si>
  <si>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</si>
  <si>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</si>
  <si>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</si>
  <si>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</si>
  <si>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</si>
  <si>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</si>
  <si>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</si>
  <si>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</si>
  <si>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</si>
  <si>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</si>
  <si>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</si>
  <si>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</si>
  <si>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</si>
  <si>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</si>
  <si>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</si>
  <si>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</si>
  <si>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</si>
  <si>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</si>
  <si>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</si>
  <si>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</si>
  <si>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</si>
  <si>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</si>
  <si>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</si>
  <si>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</si>
  <si>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</si>
  <si>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</si>
  <si>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</si>
  <si>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</si>
  <si>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</si>
  <si>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</si>
  <si>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</si>
  <si>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</si>
  <si>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</si>
  <si>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</si>
  <si>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</si>
  <si>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</si>
  <si>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</si>
  <si>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</si>
  <si>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</si>
  <si>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</si>
  <si>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</si>
  <si>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</si>
  <si>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</si>
  <si>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</si>
  <si>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</si>
  <si>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</si>
  <si>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</si>
  <si>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</si>
  <si>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</si>
  <si>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</si>
  <si>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</si>
  <si>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</si>
  <si>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</si>
  <si>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</si>
  <si>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</si>
  <si>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</si>
  <si>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</si>
  <si>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</si>
  <si>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</si>
  <si>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</si>
  <si>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</si>
  <si>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</si>
  <si>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</si>
  <si>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</si>
  <si>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</si>
  <si>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</si>
  <si>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</si>
  <si>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</si>
  <si>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</si>
  <si>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</si>
  <si>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</si>
  <si>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</si>
  <si>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</si>
  <si>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</si>
  <si>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</si>
  <si>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</si>
  <si>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</si>
  <si>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</si>
  <si>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</si>
  <si>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</si>
  <si>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</si>
  <si>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</si>
  <si>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</si>
  <si>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</si>
  <si>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</si>
  <si>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</si>
  <si>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</si>
  <si>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</si>
  <si>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</si>
  <si>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</si>
  <si>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</si>
  <si>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</si>
  <si>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</si>
  <si>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</si>
  <si>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</si>
  <si>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</si>
  <si>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</si>
  <si>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</si>
  <si>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</si>
  <si>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</si>
  <si>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</si>
  <si>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</si>
  <si>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</si>
  <si>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</si>
  <si>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</si>
  <si>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</si>
  <si>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</si>
  <si>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</si>
  <si>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</si>
  <si>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</si>
  <si>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</si>
  <si>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</si>
  <si>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</si>
  <si>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</si>
  <si>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</si>
  <si>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</si>
  <si>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</si>
  <si>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</si>
  <si>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</si>
  <si>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</si>
  <si>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</si>
  <si>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</si>
  <si>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</si>
  <si>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</si>
  <si>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</si>
  <si>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</si>
  <si>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</si>
  <si>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</si>
  <si>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</si>
  <si>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</si>
  <si>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</si>
  <si>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</si>
  <si>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</si>
  <si>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</si>
  <si>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</si>
  <si>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</si>
  <si>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</si>
  <si>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</si>
  <si>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</si>
  <si>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</si>
  <si>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</si>
  <si>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</si>
  <si>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</si>
  <si>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</si>
  <si>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</si>
  <si>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</si>
  <si>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</si>
  <si>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</si>
  <si>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</si>
  <si>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</si>
  <si>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</si>
  <si>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</si>
  <si>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</si>
  <si>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</si>
  <si>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</si>
  <si>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</si>
  <si>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</si>
  <si>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</si>
  <si>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</si>
  <si>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</si>
  <si>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</si>
  <si>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</si>
  <si>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</si>
  <si>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</si>
  <si>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</si>
  <si>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</si>
  <si>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</si>
  <si>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</si>
  <si>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</si>
  <si>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</si>
  <si>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</si>
  <si>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</si>
  <si>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</si>
  <si>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</si>
  <si>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</si>
  <si>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</si>
  <si>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</si>
  <si>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</si>
  <si>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</si>
  <si>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</si>
  <si>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</si>
  <si>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</si>
  <si>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</si>
  <si>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</si>
  <si>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</si>
  <si>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</si>
  <si>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</si>
  <si>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</si>
  <si>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</si>
  <si>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</si>
  <si>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</si>
  <si>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</si>
  <si>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</si>
  <si>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</si>
  <si>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</si>
  <si>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</si>
  <si>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</si>
  <si>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</si>
  <si>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</si>
  <si>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</si>
  <si>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</si>
  <si>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</si>
  <si>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</si>
  <si>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</si>
  <si>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</si>
  <si>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</si>
  <si>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</si>
  <si>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</si>
  <si>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</si>
  <si>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</si>
  <si>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</si>
  <si>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</si>
  <si>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</si>
  <si>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</si>
  <si>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</si>
  <si>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</si>
  <si>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</si>
  <si>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</si>
  <si>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</si>
  <si>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</si>
  <si>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</si>
  <si>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</si>
  <si>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</si>
  <si>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</si>
  <si>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</si>
  <si>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</si>
  <si>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</si>
  <si>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</si>
  <si>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</si>
  <si>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</si>
  <si>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</si>
  <si>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</si>
  <si>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</si>
  <si>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</si>
  <si>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</si>
  <si>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</si>
  <si>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</si>
  <si>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</si>
  <si>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</si>
  <si>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</si>
  <si>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</si>
  <si>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</si>
  <si>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</si>
  <si>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</si>
  <si>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</si>
  <si>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</si>
  <si>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</si>
  <si>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</si>
  <si>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</si>
  <si>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</si>
  <si>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</si>
  <si>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</si>
  <si>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</si>
  <si>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</si>
  <si>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</si>
  <si>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</si>
  <si>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</si>
  <si>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</si>
  <si>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</si>
  <si>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</si>
  <si>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</si>
  <si>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</si>
  <si>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</si>
  <si>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</si>
  <si>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</si>
  <si>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</si>
  <si>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</si>
  <si>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</si>
  <si>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</si>
  <si>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</si>
  <si>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</si>
  <si>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</si>
  <si>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</si>
  <si>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</si>
  <si>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</si>
  <si>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</si>
  <si>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</si>
  <si>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</si>
  <si>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</si>
  <si>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</si>
  <si>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</si>
  <si>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</si>
  <si>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</si>
  <si>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</si>
  <si>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</si>
  <si>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</si>
  <si>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</si>
  <si>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</si>
  <si>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</si>
  <si>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</si>
  <si>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</si>
  <si>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</si>
  <si>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</si>
  <si>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</si>
  <si>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</si>
  <si>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</si>
  <si>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</si>
  <si>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</si>
  <si>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</si>
  <si>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</si>
  <si>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</si>
  <si>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</si>
  <si>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</si>
  <si>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</si>
  <si>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</si>
  <si>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</si>
  <si>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</si>
  <si>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</si>
  <si>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</si>
  <si>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</si>
  <si>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</si>
  <si>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</si>
  <si>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</si>
  <si>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</si>
  <si>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</si>
  <si>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</si>
  <si>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</si>
  <si>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</si>
  <si>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</si>
  <si>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</si>
  <si>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</si>
  <si>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</si>
  <si>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</si>
  <si>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</si>
  <si>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</si>
  <si>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</si>
  <si>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</si>
  <si>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</si>
  <si>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</si>
  <si>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</si>
  <si>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</si>
  <si>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</si>
  <si>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</si>
  <si>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</si>
  <si>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</si>
  <si>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</si>
  <si>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</si>
  <si>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</si>
  <si>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</si>
  <si>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</si>
  <si>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</si>
  <si>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</si>
  <si>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</si>
  <si>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</si>
  <si>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</si>
  <si>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</si>
  <si>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</si>
  <si>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</si>
  <si>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</si>
  <si>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</si>
  <si>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</si>
  <si>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</si>
  <si>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</si>
  <si>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</si>
  <si>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</si>
  <si>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</si>
  <si>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</si>
  <si>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</si>
  <si>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</si>
  <si>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</si>
  <si>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</si>
  <si>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</si>
  <si>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</si>
  <si>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</si>
  <si>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</si>
  <si>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</si>
  <si>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</si>
  <si>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</si>
  <si>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</si>
  <si>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</si>
  <si>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</si>
  <si>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</si>
  <si>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</si>
  <si>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</si>
  <si>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</si>
  <si>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</si>
  <si>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</si>
  <si>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</si>
  <si>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</si>
  <si>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</si>
  <si>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</si>
  <si>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</si>
  <si>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</si>
  <si>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</si>
  <si>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</si>
  <si>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</si>
  <si>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</si>
  <si>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</si>
  <si>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</si>
  <si>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</si>
  <si>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</si>
  <si>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</si>
  <si>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</si>
  <si>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</si>
  <si>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</si>
  <si>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</si>
  <si>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</si>
  <si>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</si>
  <si>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</si>
  <si>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</si>
  <si>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</si>
  <si>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</si>
  <si>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</si>
  <si>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</si>
  <si>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</si>
  <si>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</si>
  <si>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</si>
  <si>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</si>
  <si>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</si>
  <si>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</si>
  <si>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</si>
  <si>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</si>
  <si>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</si>
  <si>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</si>
  <si>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</si>
  <si>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</si>
  <si>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</si>
  <si>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</si>
  <si>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</si>
  <si>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</si>
  <si>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</si>
  <si>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</si>
  <si>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</si>
  <si>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</si>
  <si>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</si>
  <si>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</si>
  <si>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</si>
  <si>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</si>
  <si>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</si>
  <si>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</si>
  <si>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</si>
  <si>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</si>
  <si>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</si>
  <si>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</si>
  <si>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</si>
  <si>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</si>
  <si>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</si>
  <si>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</si>
  <si>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</si>
  <si>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</si>
  <si>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</si>
  <si>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</si>
  <si>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</si>
  <si>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</si>
  <si>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</si>
  <si>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</si>
  <si>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</si>
  <si>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</si>
  <si>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</si>
  <si>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</si>
  <si>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</si>
  <si>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</si>
  <si>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</si>
  <si>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</si>
  <si>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</si>
  <si>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</si>
  <si>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</si>
  <si>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</si>
  <si>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</si>
  <si>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</si>
  <si>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</si>
  <si>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</si>
  <si>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</si>
  <si>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</si>
  <si>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</si>
  <si>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</si>
  <si>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</si>
  <si>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</si>
  <si>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</si>
  <si>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</si>
  <si>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</si>
  <si>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</si>
  <si>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</si>
  <si>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</si>
  <si>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</si>
  <si>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</si>
  <si>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</si>
  <si>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</si>
  <si>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</si>
  <si>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</si>
  <si>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</si>
  <si>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</si>
  <si>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</si>
  <si>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</si>
  <si>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</si>
  <si>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</si>
  <si>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</si>
  <si>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</si>
  <si>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</si>
  <si>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</si>
  <si>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</si>
  <si>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</si>
  <si>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</si>
  <si>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</si>
  <si>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</si>
  <si>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</si>
  <si>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</si>
  <si>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</si>
  <si>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</si>
  <si>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</si>
  <si>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</si>
  <si>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</si>
  <si>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</si>
  <si>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</si>
  <si>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</si>
  <si>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</si>
  <si>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</si>
  <si>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</si>
  <si>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</si>
  <si>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</si>
  <si>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</si>
  <si>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</si>
  <si>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</si>
  <si>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</si>
  <si>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</si>
  <si>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</si>
  <si>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</si>
  <si>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</si>
  <si>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</si>
  <si>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</si>
  <si>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</si>
  <si>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</si>
  <si>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</si>
  <si>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</si>
  <si>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</si>
  <si>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</si>
  <si>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</si>
  <si>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</si>
  <si>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</si>
  <si>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</si>
  <si>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</si>
  <si>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</si>
  <si>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</si>
  <si>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</si>
  <si>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</si>
  <si>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</si>
  <si>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</si>
  <si>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</si>
  <si>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</si>
  <si>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</si>
  <si>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</si>
  <si>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</si>
  <si>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</si>
  <si>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</si>
  <si>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</si>
  <si>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</si>
  <si>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</si>
  <si>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</si>
  <si>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</si>
  <si>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</si>
  <si>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</si>
  <si>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</si>
  <si>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</si>
  <si>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</si>
  <si>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</si>
  <si>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</si>
  <si>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</si>
  <si>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</si>
  <si>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</si>
  <si>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</si>
  <si>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</si>
  <si>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</si>
  <si>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</si>
  <si>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</si>
  <si>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</si>
  <si>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</si>
  <si>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</si>
  <si>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</si>
  <si>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</si>
  <si>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</si>
  <si>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</si>
  <si>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</si>
  <si>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</si>
  <si>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</si>
  <si>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</si>
  <si>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</si>
  <si>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</si>
  <si>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</si>
  <si>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</si>
  <si>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</si>
  <si>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</si>
  <si>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</si>
  <si>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</si>
  <si>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</si>
  <si>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</si>
  <si>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</si>
  <si>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</si>
  <si>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</si>
  <si>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</si>
  <si>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</si>
  <si>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</si>
  <si>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</si>
  <si>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</si>
  <si>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</si>
  <si>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</si>
  <si>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</si>
  <si>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</si>
  <si>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</si>
  <si>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</si>
  <si>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</si>
  <si>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</si>
  <si>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</si>
  <si>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</si>
  <si>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</si>
  <si>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</si>
  <si>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</si>
  <si>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</si>
  <si>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</si>
  <si>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</si>
  <si>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</si>
  <si>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</si>
  <si>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</si>
  <si>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</si>
  <si>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</si>
  <si>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</si>
  <si>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</si>
  <si>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</si>
  <si>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</si>
  <si>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</si>
  <si>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</si>
  <si>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</si>
  <si>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</si>
  <si>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</si>
  <si>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</si>
  <si>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</si>
  <si>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</si>
  <si>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</si>
  <si>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</si>
  <si>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</si>
  <si>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</si>
  <si>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</si>
  <si>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</si>
  <si>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</si>
  <si>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</si>
  <si>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</si>
  <si>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</si>
  <si>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</si>
  <si>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</si>
  <si>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</si>
  <si>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</si>
  <si>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</si>
  <si>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</si>
  <si>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</si>
  <si>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</si>
  <si>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</si>
  <si>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</si>
  <si>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</si>
  <si>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</si>
  <si>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</si>
  <si>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</si>
  <si>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</si>
  <si>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</si>
  <si>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</si>
  <si>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</si>
  <si>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</si>
  <si>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</si>
  <si>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</si>
  <si>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</si>
  <si>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</si>
  <si>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</si>
  <si>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</si>
  <si>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</si>
  <si>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</si>
  <si>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</si>
  <si>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</si>
  <si>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</si>
  <si>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</si>
  <si>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</si>
  <si>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</si>
  <si>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</si>
  <si>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</si>
  <si>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</si>
  <si>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</si>
  <si>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</si>
  <si>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</si>
  <si>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</si>
  <si>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</si>
  <si>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</si>
  <si>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</si>
  <si>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</si>
  <si>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</si>
  <si>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</si>
  <si>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</si>
  <si>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</si>
  <si>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</si>
  <si>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</si>
  <si>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</si>
  <si>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</si>
  <si>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</si>
  <si>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</si>
  <si>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</si>
  <si>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</si>
  <si>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</si>
  <si>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</si>
  <si>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</si>
  <si>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</si>
  <si>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</si>
  <si>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</si>
  <si>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</si>
  <si>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</si>
  <si>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</si>
  <si>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</si>
  <si>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</si>
  <si>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</si>
  <si>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</si>
  <si>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</si>
  <si>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</si>
  <si>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</si>
  <si>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</si>
  <si>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</si>
  <si>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</si>
  <si>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</si>
  <si>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</si>
  <si>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</si>
  <si>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</si>
  <si>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</si>
  <si>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</si>
  <si>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</si>
  <si>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</si>
  <si>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</si>
  <si>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</si>
  <si>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</si>
  <si>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</si>
  <si>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</si>
  <si>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</si>
  <si>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</si>
  <si>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</si>
  <si>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</si>
  <si>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</si>
  <si>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</si>
  <si>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</si>
  <si>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</si>
  <si>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</si>
  <si>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</si>
  <si>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</si>
  <si>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</si>
  <si>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</si>
  <si>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</si>
  <si>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</si>
  <si>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</si>
  <si>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</si>
  <si>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</si>
  <si>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</si>
  <si>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</si>
  <si>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</si>
  <si>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</si>
  <si>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</si>
  <si>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</si>
  <si>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</si>
  <si>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</si>
  <si>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</si>
  <si>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</si>
  <si>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</si>
  <si>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</si>
  <si>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</si>
  <si>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</si>
  <si>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</si>
  <si>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</si>
  <si>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</si>
  <si>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</si>
  <si>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</si>
  <si>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</si>
  <si>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</si>
  <si>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</si>
  <si>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</si>
  <si>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</si>
  <si>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</si>
  <si>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</si>
  <si>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</si>
  <si>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</si>
  <si>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</si>
  <si>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</si>
  <si>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</si>
  <si>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</si>
  <si>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</si>
  <si>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</si>
  <si>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</si>
  <si>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</si>
  <si>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</si>
  <si>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</si>
  <si>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</si>
  <si>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</si>
  <si>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</si>
  <si>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</si>
  <si>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</si>
  <si>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</si>
  <si>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</si>
  <si>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</si>
  <si>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</si>
  <si>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</si>
  <si>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</si>
  <si>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</si>
  <si>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</si>
  <si>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</si>
  <si>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</si>
  <si>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</si>
  <si>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</si>
  <si>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</si>
  <si>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</si>
  <si>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</si>
  <si>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</si>
  <si>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</si>
  <si>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</si>
  <si>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</si>
  <si>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</si>
  <si>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</si>
  <si>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</si>
  <si>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</si>
  <si>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</si>
  <si>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</si>
  <si>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</si>
  <si>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</si>
  <si>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</si>
  <si>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</si>
  <si>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</si>
  <si>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</si>
  <si>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</si>
  <si>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</si>
  <si>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</si>
  <si>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</si>
  <si>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</si>
  <si>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</si>
  <si>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</si>
  <si>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</si>
  <si>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</si>
  <si>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</si>
  <si>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</si>
  <si>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</si>
  <si>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</si>
  <si>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</si>
  <si>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</si>
  <si>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</si>
  <si>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</si>
  <si>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</si>
  <si>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</si>
  <si>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</si>
  <si>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</si>
  <si>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</si>
  <si>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</si>
  <si>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</si>
  <si>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</si>
  <si>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</si>
  <si>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</si>
  <si>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</si>
  <si>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</si>
  <si>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</si>
  <si>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</si>
  <si>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</si>
  <si>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</si>
  <si>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</si>
  <si>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</si>
  <si>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</si>
  <si>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</si>
  <si>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</si>
  <si>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</si>
  <si>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</si>
  <si>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</si>
  <si>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</si>
  <si>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</si>
  <si>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</si>
  <si>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</si>
  <si>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</si>
  <si>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</si>
  <si>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</si>
  <si>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</si>
  <si>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</si>
  <si>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</si>
  <si>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</si>
  <si>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</si>
  <si>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</si>
  <si>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</si>
  <si>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</si>
  <si>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</si>
  <si>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</si>
  <si>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</si>
  <si>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</si>
  <si>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</si>
  <si>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</si>
  <si>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</si>
  <si>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</si>
  <si>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</si>
  <si>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</si>
  <si>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</si>
  <si>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</si>
  <si>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</si>
  <si>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</si>
  <si>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</si>
  <si>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</si>
  <si>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</si>
  <si>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</si>
  <si>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</si>
  <si>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</si>
  <si>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</si>
  <si>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</si>
  <si>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</si>
  <si>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</si>
  <si>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</si>
  <si>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</si>
  <si>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</si>
  <si>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</si>
  <si>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</si>
  <si>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</si>
  <si>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</si>
  <si>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</si>
  <si>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</si>
  <si>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</si>
  <si>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</si>
  <si>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</si>
  <si>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</si>
  <si>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</si>
  <si>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</si>
  <si>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</si>
  <si>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</si>
  <si>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</si>
  <si>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</si>
  <si>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</si>
  <si>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</si>
  <si>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</si>
  <si>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</si>
  <si>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</si>
  <si>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</si>
  <si>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</si>
  <si>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</si>
  <si>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</si>
  <si>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</si>
  <si>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</si>
  <si>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</si>
  <si>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</si>
  <si>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</si>
  <si>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</si>
  <si>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</si>
  <si>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</si>
  <si>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</si>
  <si>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</si>
  <si>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</si>
  <si>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</si>
  <si>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</si>
  <si>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</si>
  <si>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</si>
  <si>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</si>
  <si>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</si>
  <si>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</si>
  <si>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</si>
  <si>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</si>
  <si>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</si>
  <si>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</si>
  <si>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</si>
  <si>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</si>
  <si>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</si>
  <si>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</si>
  <si>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</si>
  <si>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</si>
  <si>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</si>
  <si>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</si>
  <si>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</si>
  <si>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</si>
  <si>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</si>
  <si>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</si>
  <si>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</si>
  <si>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</si>
  <si>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</si>
  <si>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</si>
  <si>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</si>
  <si>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</si>
  <si>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</si>
  <si>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</si>
  <si>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</si>
  <si>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</si>
  <si>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</si>
  <si>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</si>
  <si>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</si>
  <si>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</si>
  <si>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</si>
  <si>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</si>
  <si>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</si>
  <si>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</si>
  <si>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</si>
  <si>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</si>
  <si>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</si>
  <si>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</si>
  <si>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</si>
  <si>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</si>
  <si>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</si>
  <si>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</si>
  <si>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</si>
  <si>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</si>
  <si>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</si>
  <si>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</si>
  <si>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</si>
  <si>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</si>
  <si>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</si>
  <si>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</si>
  <si>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</si>
  <si>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</si>
  <si>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</si>
  <si>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</si>
  <si>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</si>
  <si>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</si>
  <si>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</si>
  <si>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</si>
  <si>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</si>
  <si>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</si>
  <si>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</si>
  <si>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</si>
  <si>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</si>
  <si>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</si>
  <si>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</si>
  <si>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</si>
  <si>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</si>
  <si>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</si>
  <si>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</si>
  <si>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</si>
  <si>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</si>
  <si>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</si>
  <si>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</si>
  <si>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</si>
  <si>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</si>
  <si>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</si>
  <si>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</si>
  <si>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</si>
  <si>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</si>
  <si>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</si>
  <si>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</si>
  <si>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</si>
  <si>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</si>
  <si>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</si>
  <si>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</si>
  <si>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</si>
  <si>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</si>
  <si>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</si>
  <si>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</si>
  <si>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</si>
  <si>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</si>
  <si>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</si>
  <si>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</si>
  <si>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</si>
  <si>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</si>
  <si>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</si>
  <si>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</si>
  <si>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</si>
  <si>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</si>
  <si>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</si>
  <si>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</si>
  <si>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</si>
  <si>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</si>
  <si>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</si>
  <si>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</si>
  <si>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</si>
  <si>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</si>
  <si>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</si>
  <si>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</si>
  <si>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</si>
  <si>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</si>
  <si>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</si>
  <si>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</si>
  <si>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</si>
  <si>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</si>
  <si>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</si>
  <si>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</si>
  <si>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</si>
  <si>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</si>
  <si>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</si>
  <si>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</si>
  <si>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</si>
  <si>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</si>
  <si>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</si>
  <si>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</si>
  <si>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</si>
  <si>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</si>
  <si>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</si>
  <si>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</si>
  <si>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</si>
  <si>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</si>
  <si>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</si>
  <si>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</si>
  <si>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</si>
  <si>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</si>
  <si>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</si>
  <si>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</si>
  <si>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</si>
  <si>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</si>
  <si>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</si>
  <si>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</si>
  <si>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</si>
  <si>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</si>
  <si>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</si>
  <si>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</si>
  <si>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</si>
  <si>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</si>
  <si>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</si>
  <si>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</si>
  <si>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</si>
  <si>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</si>
  <si>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</si>
  <si>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</si>
  <si>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</si>
  <si>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</si>
  <si>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</si>
  <si>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</si>
  <si>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</si>
  <si>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</si>
  <si>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</si>
  <si>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</si>
  <si>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</si>
  <si>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</si>
  <si>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</si>
  <si>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</si>
  <si>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</si>
  <si>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</si>
  <si>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</si>
  <si>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</si>
  <si>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</si>
  <si>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</si>
  <si>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</si>
  <si>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</si>
  <si>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</si>
  <si>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</si>
  <si>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</si>
  <si>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</si>
  <si>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</si>
  <si>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</si>
  <si>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</si>
  <si>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</si>
  <si>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</si>
  <si>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</si>
  <si>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</si>
  <si>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</si>
  <si>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</si>
  <si>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</si>
  <si>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</si>
  <si>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</si>
  <si>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</si>
  <si>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</si>
  <si>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</si>
  <si>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</si>
  <si>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</si>
  <si>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</si>
  <si>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</si>
  <si>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</si>
  <si>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</si>
  <si>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</si>
  <si>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</si>
  <si>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</si>
  <si>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</si>
  <si>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</si>
  <si>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</si>
  <si>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</si>
  <si>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</si>
  <si>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</si>
  <si>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</si>
  <si>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</si>
  <si>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</si>
  <si>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</si>
  <si>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</si>
  <si>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</si>
  <si>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</si>
  <si>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</si>
  <si>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</si>
  <si>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</si>
  <si>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</si>
  <si>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</si>
  <si>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</si>
  <si>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</si>
  <si>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</si>
  <si>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</si>
  <si>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</si>
  <si>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</si>
  <si>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</si>
  <si>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</si>
  <si>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</si>
  <si>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</si>
  <si>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</si>
  <si>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</si>
  <si>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</si>
  <si>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</si>
  <si>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</si>
  <si>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</si>
  <si>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</si>
  <si>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</si>
  <si>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</si>
  <si>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</si>
  <si>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</si>
  <si>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</si>
  <si>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</si>
  <si>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</si>
  <si>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</si>
  <si>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</si>
  <si>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</si>
  <si>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</si>
  <si>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</si>
  <si>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</si>
  <si>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</si>
  <si>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</si>
  <si>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</si>
  <si>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</si>
  <si>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</si>
  <si>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</si>
  <si>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</si>
  <si>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</si>
  <si>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</si>
  <si>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</si>
  <si>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</si>
  <si>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</si>
  <si>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</si>
  <si>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</si>
  <si>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</si>
  <si>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</si>
  <si>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</si>
  <si>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</si>
  <si>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</si>
  <si>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</si>
  <si>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</si>
  <si>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</si>
  <si>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</si>
  <si>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</si>
  <si>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</si>
  <si>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</si>
  <si>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</si>
  <si>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</si>
  <si>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</si>
  <si>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</si>
  <si>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</si>
  <si>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</si>
  <si>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</si>
  <si>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</si>
  <si>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</si>
  <si>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</si>
  <si>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</si>
  <si>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</si>
  <si>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</si>
  <si>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</si>
  <si>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</si>
  <si>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</si>
  <si>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</si>
  <si>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</si>
  <si>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</si>
  <si>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</si>
  <si>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</si>
  <si>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</si>
  <si>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</si>
  <si>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</si>
  <si>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</si>
  <si>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</si>
  <si>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</si>
  <si>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</si>
  <si>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</si>
  <si>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</si>
  <si>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</si>
  <si>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</si>
  <si>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</si>
  <si>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</si>
  <si>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</si>
  <si>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</si>
  <si>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</si>
  <si>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</si>
  <si>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</si>
  <si>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</si>
  <si>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</si>
  <si>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</si>
  <si>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</si>
  <si>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</si>
  <si>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</si>
  <si>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</si>
  <si>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</si>
  <si>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</si>
  <si>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</si>
  <si>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</si>
  <si>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</si>
  <si>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</si>
  <si>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</si>
  <si>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</si>
  <si>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</si>
  <si>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</si>
  <si>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</si>
  <si>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</si>
  <si>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</si>
  <si>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</si>
  <si>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</si>
  <si>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</si>
  <si>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</si>
  <si>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</si>
  <si>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</si>
  <si>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</si>
  <si>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</si>
  <si>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</si>
  <si>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</si>
  <si>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</si>
  <si>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</si>
  <si>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</si>
  <si>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</si>
  <si>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</si>
  <si>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</si>
  <si>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</si>
  <si>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</si>
  <si>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</si>
  <si>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</si>
  <si>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</si>
  <si>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</si>
  <si>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</si>
  <si>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</si>
  <si>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</si>
  <si>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</si>
  <si>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</si>
  <si>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</si>
  <si>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</si>
  <si>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</si>
  <si>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</si>
  <si>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</si>
  <si>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</si>
  <si>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</si>
  <si>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</si>
  <si>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</si>
  <si>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</si>
  <si>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</si>
  <si>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</si>
  <si>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</si>
  <si>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</si>
  <si>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</si>
  <si>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</si>
  <si>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</si>
  <si>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</si>
  <si>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</si>
  <si>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</si>
  <si>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</si>
  <si>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</si>
  <si>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</si>
  <si>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</si>
  <si>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</si>
  <si>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</si>
  <si>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</si>
  <si>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</si>
  <si>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</si>
  <si>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</si>
  <si>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</si>
  <si>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</si>
  <si>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</si>
  <si>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</si>
  <si>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</si>
  <si>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</si>
  <si>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</si>
  <si>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</si>
  <si>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</si>
  <si>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</si>
  <si>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</si>
  <si>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</si>
  <si>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</si>
  <si>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</si>
  <si>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</si>
  <si>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</si>
  <si>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</si>
  <si>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</si>
  <si>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</si>
  <si>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</si>
  <si>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</si>
  <si>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</si>
  <si>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</si>
  <si>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</si>
  <si>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</si>
  <si>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</si>
  <si>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</si>
  <si>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</si>
  <si>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</si>
  <si>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</si>
  <si>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</si>
  <si>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</si>
  <si>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</si>
  <si>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</si>
  <si>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</si>
  <si>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</si>
  <si>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</si>
  <si>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</si>
  <si>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</si>
  <si>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</si>
  <si>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</si>
  <si>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</si>
  <si>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</si>
  <si>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</si>
  <si>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</si>
  <si>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</si>
  <si>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</si>
  <si>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</si>
  <si>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</si>
  <si>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</si>
  <si>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</si>
  <si>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</si>
  <si>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</si>
  <si>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</si>
  <si>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</si>
  <si>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</si>
  <si>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</si>
  <si>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</si>
  <si>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</si>
  <si>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</si>
  <si>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</si>
  <si>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</si>
  <si>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</si>
  <si>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</si>
  <si>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</si>
  <si>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</si>
  <si>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</si>
  <si>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</si>
  <si>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</si>
  <si>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</si>
  <si>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</si>
  <si>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</si>
  <si>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</si>
  <si>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</si>
  <si>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</si>
  <si>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</si>
  <si>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</si>
  <si>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</si>
  <si>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</si>
  <si>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</si>
  <si>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</si>
  <si>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</si>
  <si>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</si>
  <si>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</si>
  <si>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</si>
  <si>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</si>
  <si>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</si>
  <si>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</si>
  <si>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</si>
  <si>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</si>
  <si>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</si>
  <si>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</si>
  <si>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</si>
  <si>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</si>
  <si>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</si>
  <si>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</si>
  <si>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</si>
  <si>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</si>
  <si>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</si>
  <si>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</si>
  <si>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</si>
  <si>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</si>
  <si>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</si>
  <si>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</si>
  <si>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</si>
  <si>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</si>
  <si>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</si>
  <si>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</si>
  <si>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</si>
  <si>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</si>
  <si>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</si>
  <si>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</si>
  <si>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</si>
  <si>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</si>
  <si>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</si>
  <si>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</si>
  <si>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</si>
  <si>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</si>
  <si>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</si>
  <si>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</si>
  <si>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</si>
  <si>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</si>
  <si>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</si>
  <si>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</si>
  <si>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</si>
  <si>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</si>
  <si>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</si>
  <si>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</si>
  <si>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</si>
  <si>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</si>
  <si>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</si>
  <si>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</si>
  <si>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</si>
  <si>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</si>
  <si>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</si>
  <si>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</si>
  <si>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</si>
  <si>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</si>
  <si>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</si>
  <si>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</si>
  <si>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</si>
  <si>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</si>
  <si>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</si>
  <si>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</si>
  <si>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</si>
  <si>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</si>
  <si>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</si>
  <si>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</si>
  <si>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</si>
  <si>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</si>
  <si>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</si>
  <si>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</si>
  <si>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</si>
  <si>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</si>
  <si>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</si>
  <si>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</si>
  <si>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</si>
  <si>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</si>
  <si>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</si>
  <si>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</si>
  <si>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</si>
  <si>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</si>
  <si>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</si>
  <si>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</si>
  <si>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</si>
  <si>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</si>
  <si>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</si>
  <si>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</si>
  <si>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</si>
  <si>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</si>
  <si>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</si>
  <si>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</si>
  <si>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</si>
  <si>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</si>
  <si>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</si>
  <si>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</si>
  <si>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</si>
  <si>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</si>
  <si>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</si>
  <si>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</si>
  <si>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</si>
  <si>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</si>
  <si>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</si>
  <si>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</si>
  <si>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</si>
  <si>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</si>
  <si>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</si>
  <si>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</si>
  <si>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</si>
  <si>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</si>
  <si>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</si>
  <si>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</si>
  <si>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</si>
  <si>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</si>
  <si>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</si>
  <si>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</si>
  <si>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</si>
  <si>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</si>
  <si>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</si>
  <si>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</si>
  <si>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</si>
  <si>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</si>
  <si>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</si>
  <si>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</si>
  <si>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</si>
  <si>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</si>
  <si>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</si>
  <si>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</si>
  <si>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</si>
  <si>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</si>
  <si>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</si>
  <si>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</si>
  <si>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</si>
  <si>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</si>
  <si>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</si>
  <si>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</si>
  <si>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</si>
  <si>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</si>
  <si>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</si>
  <si>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</si>
  <si>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</si>
  <si>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</si>
  <si>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</si>
  <si>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</si>
  <si>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</si>
  <si>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</si>
  <si>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</si>
  <si>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</si>
  <si>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</si>
  <si>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</si>
  <si>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 card</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</si>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</sst>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32"/>
      <color theme="7" tint="0.79998168889431442"/>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2" fillId="0" borderId="0" xfId="0" applyFont="1"/>
    <xf numFmtId="0" fontId="3"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0" fontId="2" fillId="0" borderId="0" xfId="0" applyFont="1" applyAlignment="1">
      <alignment vertical="center"/>
    </xf>
    <xf numFmtId="168" fontId="0" fillId="0" borderId="0" xfId="0" applyNumberFormat="1"/>
    <xf numFmtId="0" fontId="4"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8">
    <dxf>
      <numFmt numFmtId="0" formatCode="General"/>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name val="Calibri"/>
        <family val="2"/>
        <scheme val="minor"/>
      </font>
      <fill>
        <patternFill patternType="solid">
          <fgColor theme="0"/>
          <bgColor theme="5"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5" tint="-0.24994659260841701"/>
        <name val="Calibri"/>
        <family val="2"/>
        <scheme val="minor"/>
      </font>
      <border diagonalUp="0" diagonalDown="0">
        <left/>
        <right/>
        <top/>
        <bottom/>
        <vertical/>
        <horizontal/>
      </border>
    </dxf>
    <dxf>
      <font>
        <b val="0"/>
        <i val="0"/>
        <sz val="11"/>
        <color theme="5" tint="-0.24994659260841701"/>
        <name val="Calibri"/>
        <family val="2"/>
        <scheme val="minor"/>
      </font>
      <fill>
        <patternFill patternType="solid">
          <fgColor theme="0"/>
          <bgColor theme="7" tint="0.79998168889431442"/>
        </patternFill>
      </fill>
      <border diagonalUp="0" diagonalDown="0">
        <left/>
        <right/>
        <top/>
        <bottom/>
        <vertical/>
        <horizontal/>
      </border>
    </dxf>
    <dxf>
      <font>
        <b/>
        <i val="0"/>
        <sz val="11"/>
        <color theme="5" tint="-0.24994659260841701"/>
      </font>
    </dxf>
    <dxf>
      <font>
        <b val="0"/>
        <i val="0"/>
        <sz val="11"/>
        <color theme="5" tint="-0.24994659260841701"/>
        <name val="Calibri"/>
        <family val="2"/>
        <scheme val="minor"/>
      </font>
      <fill>
        <patternFill>
          <bgColor theme="7" tint="0.79998168889431442"/>
        </patternFill>
      </fill>
    </dxf>
  </dxfs>
  <tableStyles count="3" defaultTableStyle="TableStyleMedium2" defaultPivotStyle="PivotStyleMedium9">
    <tableStyle name="brown slicer style" pivot="0" table="0" count="5" xr9:uid="{60107F38-15DB-484C-8972-ECC97AC11D1C}">
      <tableStyleElement type="wholeTable" dxfId="17"/>
      <tableStyleElement type="headerRow" dxfId="16"/>
    </tableStyle>
    <tableStyle name="brown timeline style" pivot="0" table="0" count="8" xr9:uid="{869C0B02-E078-4FF6-A132-66A505423D10}">
      <tableStyleElement type="wholeTable" dxfId="15"/>
      <tableStyleElement type="headerRow" dxfId="14"/>
    </tableStyle>
    <tableStyle name="Orange timeline style" pivot="0" table="0" count="8" xr9:uid="{595A6ECF-D865-494C-B608-F3A8B34F5DC6}">
      <tableStyleElement type="wholeTable" dxfId="13"/>
      <tableStyleElement type="headerRow" dxfId="12"/>
    </tableStyle>
  </tableStyles>
  <colors>
    <mruColors>
      <color rgb="FFFFB448"/>
    </mruColors>
  </colors>
  <extLst>
    <ext xmlns:x14="http://schemas.microsoft.com/office/spreadsheetml/2009/9/main" uri="{46F421CA-312F-682f-3DD2-61675219B42D}">
      <x14:dxfs count="3">
        <dxf>
          <fill>
            <patternFill>
              <bgColor theme="5" tint="0.39994506668294322"/>
            </patternFill>
          </fill>
        </dxf>
        <dxf>
          <font>
            <color theme="7" tint="0.79998168889431442"/>
          </font>
          <fill>
            <patternFill>
              <bgColor theme="5" tint="-0.24994659260841701"/>
            </patternFill>
          </fill>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brown slicer style">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8764000366222"/>
              <bgColor theme="5" tint="0.39994506668294322"/>
            </patternFill>
          </fill>
        </dxf>
        <dxf>
          <fill>
            <patternFill patternType="solid">
              <fgColor theme="0"/>
              <bgColor theme="5" tint="-0.24994659260841701"/>
            </patternFill>
          </fill>
        </dxf>
        <dxf>
          <font>
            <sz val="9"/>
            <color theme="5" tint="-0.24994659260841701"/>
            <name val="Calibri"/>
            <family val="2"/>
            <scheme val="minor"/>
          </font>
        </dxf>
        <dxf>
          <font>
            <sz val="9"/>
            <color theme="5" tint="-0.24994659260841701"/>
            <name val="Calibri"/>
            <family val="2"/>
            <scheme val="minor"/>
          </font>
        </dxf>
        <dxf>
          <font>
            <sz val="9"/>
            <color theme="5" tint="-0.24994659260841701"/>
            <name val="Calibri"/>
            <family val="2"/>
            <scheme val="minor"/>
          </font>
        </dxf>
        <dxf>
          <font>
            <sz val="10"/>
            <color theme="5" tint="-0.24994659260841701"/>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Orang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dashboard(Excel).xlsx]Total sales!Total sales</c:name>
    <c:fmtId val="12"/>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540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E5B-43E4-9E26-406E740E7E4D}"/>
            </c:ext>
          </c:extLst>
        </c:ser>
        <c:ser>
          <c:idx val="1"/>
          <c:order val="1"/>
          <c:tx>
            <c:strRef>
              <c:f>'Total sales'!$D$3:$D$4</c:f>
              <c:strCache>
                <c:ptCount val="1"/>
                <c:pt idx="0">
                  <c:v>Excelsa</c:v>
                </c:pt>
              </c:strCache>
            </c:strRef>
          </c:tx>
          <c:spPr>
            <a:ln w="25400" cap="rnd">
              <a:solidFill>
                <a:srgbClr val="FFC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E5B-43E4-9E26-406E740E7E4D}"/>
            </c:ext>
          </c:extLst>
        </c:ser>
        <c:ser>
          <c:idx val="2"/>
          <c:order val="2"/>
          <c:tx>
            <c:strRef>
              <c:f>'Total sales'!$E$3:$E$4</c:f>
              <c:strCache>
                <c:ptCount val="1"/>
                <c:pt idx="0">
                  <c:v>Liberica</c:v>
                </c:pt>
              </c:strCache>
            </c:strRef>
          </c:tx>
          <c:spPr>
            <a:ln w="25400"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E5B-43E4-9E26-406E740E7E4D}"/>
            </c:ext>
          </c:extLst>
        </c:ser>
        <c:ser>
          <c:idx val="3"/>
          <c:order val="3"/>
          <c:tx>
            <c:strRef>
              <c:f>'Total sales'!$F$3:$F$4</c:f>
              <c:strCache>
                <c:ptCount val="1"/>
                <c:pt idx="0">
                  <c:v>Robusta</c:v>
                </c:pt>
              </c:strCache>
            </c:strRef>
          </c:tx>
          <c:spPr>
            <a:ln w="25400" cap="rnd">
              <a:solidFill>
                <a:schemeClr val="accent2">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01DE-46DD-ACB9-2B88678F8C34}"/>
            </c:ext>
          </c:extLst>
        </c:ser>
        <c:dLbls>
          <c:showLegendKey val="0"/>
          <c:showVal val="0"/>
          <c:showCatName val="0"/>
          <c:showSerName val="0"/>
          <c:showPercent val="0"/>
          <c:showBubbleSize val="0"/>
        </c:dLbls>
        <c:smooth val="0"/>
        <c:axId val="994542448"/>
        <c:axId val="994543888"/>
      </c:lineChart>
      <c:catAx>
        <c:axId val="99454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994543888"/>
        <c:crosses val="autoZero"/>
        <c:auto val="1"/>
        <c:lblAlgn val="ctr"/>
        <c:lblOffset val="100"/>
        <c:noMultiLvlLbl val="0"/>
      </c:catAx>
      <c:valAx>
        <c:axId val="994543888"/>
        <c:scaling>
          <c:orientation val="minMax"/>
        </c:scaling>
        <c:delete val="0"/>
        <c:axPos val="l"/>
        <c:majorGridlines>
          <c:spPr>
            <a:ln w="9525" cap="flat" cmpd="sng" algn="ctr">
              <a:solidFill>
                <a:schemeClr val="accent4">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99454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40000"/>
          <a:lumOff val="60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dashboard(Excel).xlsx]Country bar chart!Total sales</c:name>
    <c:fmtId val="2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0DF-40AE-98B0-6D0587BFA7BA}"/>
            </c:ext>
          </c:extLst>
        </c:ser>
        <c:dLbls>
          <c:dLblPos val="outEnd"/>
          <c:showLegendKey val="0"/>
          <c:showVal val="1"/>
          <c:showCatName val="0"/>
          <c:showSerName val="0"/>
          <c:showPercent val="0"/>
          <c:showBubbleSize val="0"/>
        </c:dLbls>
        <c:gapWidth val="219"/>
        <c:axId val="297942496"/>
        <c:axId val="297954016"/>
      </c:barChart>
      <c:catAx>
        <c:axId val="29794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97954016"/>
        <c:crosses val="autoZero"/>
        <c:auto val="1"/>
        <c:lblAlgn val="ctr"/>
        <c:lblOffset val="100"/>
        <c:noMultiLvlLbl val="0"/>
      </c:catAx>
      <c:valAx>
        <c:axId val="297954016"/>
        <c:scaling>
          <c:orientation val="minMax"/>
        </c:scaling>
        <c:delete val="0"/>
        <c:axPos val="b"/>
        <c:majorGridlines>
          <c:spPr>
            <a:ln w="9525" cap="flat" cmpd="sng" algn="ctr">
              <a:solidFill>
                <a:schemeClr val="accent4">
                  <a:lumMod val="40000"/>
                  <a:lumOff val="6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979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dashboard(Excel).xlsx]Top5customers!Total sales</c:name>
    <c:fmtId val="21"/>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4AF-4D98-BFE7-FCDC25E3C027}"/>
            </c:ext>
          </c:extLst>
        </c:ser>
        <c:dLbls>
          <c:dLblPos val="outEnd"/>
          <c:showLegendKey val="0"/>
          <c:showVal val="1"/>
          <c:showCatName val="0"/>
          <c:showSerName val="0"/>
          <c:showPercent val="0"/>
          <c:showBubbleSize val="0"/>
        </c:dLbls>
        <c:gapWidth val="219"/>
        <c:axId val="297942496"/>
        <c:axId val="297954016"/>
      </c:barChart>
      <c:catAx>
        <c:axId val="29794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97954016"/>
        <c:crosses val="autoZero"/>
        <c:auto val="1"/>
        <c:lblAlgn val="ctr"/>
        <c:lblOffset val="100"/>
        <c:noMultiLvlLbl val="0"/>
      </c:catAx>
      <c:valAx>
        <c:axId val="297954016"/>
        <c:scaling>
          <c:orientation val="minMax"/>
        </c:scaling>
        <c:delete val="0"/>
        <c:axPos val="b"/>
        <c:majorGridlines>
          <c:spPr>
            <a:ln w="9525" cap="flat" cmpd="sng" algn="ctr">
              <a:solidFill>
                <a:schemeClr val="accent4">
                  <a:lumMod val="40000"/>
                  <a:lumOff val="6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979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7937</xdr:rowOff>
    </xdr:from>
    <xdr:to>
      <xdr:col>15</xdr:col>
      <xdr:colOff>7938</xdr:colOff>
      <xdr:row>35</xdr:row>
      <xdr:rowOff>0</xdr:rowOff>
    </xdr:to>
    <xdr:graphicFrame macro="">
      <xdr:nvGraphicFramePr>
        <xdr:cNvPr id="2" name="Chart 1">
          <a:extLst>
            <a:ext uri="{FF2B5EF4-FFF2-40B4-BE49-F238E27FC236}">
              <a16:creationId xmlns:a16="http://schemas.microsoft.com/office/drawing/2014/main" id="{EA86C437-F27A-4D96-9997-C5DDDA3F0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174627</xdr:rowOff>
    </xdr:from>
    <xdr:to>
      <xdr:col>15</xdr:col>
      <xdr:colOff>7939</xdr:colOff>
      <xdr:row>15</xdr:row>
      <xdr:rowOff>16406</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1A5E465-DD80-444E-834C-158964AF7E5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7929" y="782413"/>
              <a:ext cx="8516939" cy="17473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452966</xdr:colOff>
      <xdr:row>9</xdr:row>
      <xdr:rowOff>174802</xdr:rowOff>
    </xdr:from>
    <xdr:to>
      <xdr:col>20</xdr:col>
      <xdr:colOff>44450</xdr:colOff>
      <xdr:row>15</xdr:row>
      <xdr:rowOff>11112</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53A9A971-3B94-4273-9FBA-CE7664EE91E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43345" y="1613531"/>
              <a:ext cx="2477105" cy="91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1589</xdr:colOff>
      <xdr:row>5</xdr:row>
      <xdr:rowOff>8466</xdr:rowOff>
    </xdr:from>
    <xdr:to>
      <xdr:col>24</xdr:col>
      <xdr:colOff>12701</xdr:colOff>
      <xdr:row>9</xdr:row>
      <xdr:rowOff>8997</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48058121-ED16-416C-803A-D4518544875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746446" y="797680"/>
              <a:ext cx="4873398" cy="726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134938</xdr:colOff>
      <xdr:row>9</xdr:row>
      <xdr:rowOff>177801</xdr:rowOff>
    </xdr:from>
    <xdr:to>
      <xdr:col>24</xdr:col>
      <xdr:colOff>2118</xdr:colOff>
      <xdr:row>15</xdr:row>
      <xdr:rowOff>2646</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E1285CCB-5DBF-456F-82B0-95EB97FD18E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310938" y="1616530"/>
              <a:ext cx="2298323" cy="907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444501</xdr:colOff>
      <xdr:row>16</xdr:row>
      <xdr:rowOff>1</xdr:rowOff>
    </xdr:from>
    <xdr:to>
      <xdr:col>23</xdr:col>
      <xdr:colOff>603251</xdr:colOff>
      <xdr:row>24</xdr:row>
      <xdr:rowOff>1</xdr:rowOff>
    </xdr:to>
    <xdr:graphicFrame macro="">
      <xdr:nvGraphicFramePr>
        <xdr:cNvPr id="7" name="Chart 6">
          <a:extLst>
            <a:ext uri="{FF2B5EF4-FFF2-40B4-BE49-F238E27FC236}">
              <a16:creationId xmlns:a16="http://schemas.microsoft.com/office/drawing/2014/main" id="{B22D0C21-6B14-4DE5-A439-E0BF40E3B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428625</xdr:colOff>
      <xdr:row>25</xdr:row>
      <xdr:rowOff>7939</xdr:rowOff>
    </xdr:from>
    <xdr:to>
      <xdr:col>24</xdr:col>
      <xdr:colOff>0</xdr:colOff>
      <xdr:row>34</xdr:row>
      <xdr:rowOff>174626</xdr:rowOff>
    </xdr:to>
    <xdr:graphicFrame macro="">
      <xdr:nvGraphicFramePr>
        <xdr:cNvPr id="8" name="Chart 7">
          <a:extLst>
            <a:ext uri="{FF2B5EF4-FFF2-40B4-BE49-F238E27FC236}">
              <a16:creationId xmlns:a16="http://schemas.microsoft.com/office/drawing/2014/main" id="{74EC9ACC-4472-4371-8AE2-1F6FCEBC3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8.527202083336" createdVersion="8" refreshedVersion="8" minRefreshableVersion="3" recordCount="1000" xr:uid="{6B79BD2A-E1E2-44DF-9622-813DACD48CF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86854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C05E4-6EF2-4BA2-B2CD-279162B043B5}"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B035C2-58B8-4AB0-8805-A5E1D6AA2109}"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
    <chartFormat chart="2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A3ED6-719A-461A-81F8-EBB8339CDDCB}"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11"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5095656-3D28-418D-A806-11A8F7EEA30A}" sourceName="Size">
  <pivotTables>
    <pivotTable tabId="18" name="Total sales"/>
    <pivotTable tabId="19" name="Total sales"/>
    <pivotTable tabId="21" name="Total sales"/>
  </pivotTables>
  <data>
    <tabular pivotCacheId="14868540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18BA185-CE2D-4162-B159-E5F2C481F810}" sourceName="Roast type name">
  <pivotTables>
    <pivotTable tabId="18" name="Total sales"/>
    <pivotTable tabId="19" name="Total sales"/>
    <pivotTable tabId="21" name="Total sales"/>
  </pivotTables>
  <data>
    <tabular pivotCacheId="14868540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1D2338C-B786-4A0C-BD64-84A9B235B4E0}" sourceName="Loyalty card">
  <pivotTables>
    <pivotTable tabId="18" name="Total sales"/>
  </pivotTables>
  <data>
    <tabular pivotCacheId="14868540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F9D2C0F-B740-4CAA-9153-396E5CF040D1}" cache="Slicer_Size" caption="Size" columnCount="2" style="brown slicer style" rowHeight="241300"/>
  <slicer name="Roast type name" xr10:uid="{A1972521-974F-4273-B3FE-93E4477B53FC}" cache="Slicer_Roast_type_name" caption="Roast type name" columnCount="3" style="brown slicer style" rowHeight="241300"/>
  <slicer name="Loyalty card" xr10:uid="{58431E0F-3596-4ECA-95E8-C8BDF8AE7D64}" cache="Slicer_Loyalty_card" caption="Loyalty card" style="brown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2D935F-C688-4D8E-8429-BA6C4801D1F8}" name="Orders" displayName="Orders" ref="A1:P1001" totalsRowShown="0" headerRowDxfId="11">
  <autoFilter ref="A1:P1001" xr:uid="{9A2D935F-C688-4D8E-8429-BA6C4801D1F8}"/>
  <tableColumns count="16">
    <tableColumn id="1" xr3:uid="{BAA74118-6512-4DE9-9707-FAA413538A68}" name="Order ID" dataDxfId="10"/>
    <tableColumn id="2" xr3:uid="{AB02AD10-D2B1-486C-B5C5-373EC58B2058}" name="Order Date" dataDxfId="9"/>
    <tableColumn id="3" xr3:uid="{BB4C9890-583B-4729-AC68-06EB0C61B4C2}" name="Customer ID" dataDxfId="8"/>
    <tableColumn id="4" xr3:uid="{68C26171-C67D-4786-9006-D24553A574FF}" name="Product ID"/>
    <tableColumn id="5" xr3:uid="{667B5FFF-25A8-46CC-BBFC-D32C7DC017AE}" name="Quantity" dataDxfId="7"/>
    <tableColumn id="6" xr3:uid="{45068303-D66C-43AB-B4FB-834FDEE03400}" name="Customer Name" dataDxfId="6">
      <calculatedColumnFormula>_xlfn.XLOOKUP(C2,customers!$A$1:$A$1001,customers!$B$1:$B$1001,,0)</calculatedColumnFormula>
    </tableColumn>
    <tableColumn id="7" xr3:uid="{D87D61C7-7FC1-4699-9331-A0D754F359F4}" name="Email" dataDxfId="5">
      <calculatedColumnFormula>IF(_xlfn.XLOOKUP(C2,customers!$A$1:$A$1001,customers!$C$1:$C$1001,,0)=0,"",_xlfn.XLOOKUP(C2,customers!$A$1:$A$1001,customers!$C$1:$C$1001,,0))</calculatedColumnFormula>
    </tableColumn>
    <tableColumn id="8" xr3:uid="{2D05A0CE-A8A2-43FA-BC35-E13277175941}" name="Country" dataDxfId="4">
      <calculatedColumnFormula>_xlfn.XLOOKUP(C2,customers!$A$1:$A$1001,customers!$G$1:$G$1001,,0)</calculatedColumnFormula>
    </tableColumn>
    <tableColumn id="9" xr3:uid="{D8ACE417-9C86-44CA-80C1-BC5516BA52B0}" name="Coffee Type">
      <calculatedColumnFormula>INDEX(products!$A$1:$G$49,MATCH(orders!$D2,products!$A$1:$A$49,0),MATCH(I$1,products!$A$1:$G$1,0))</calculatedColumnFormula>
    </tableColumn>
    <tableColumn id="10" xr3:uid="{2ED48CE9-FB5F-4E4C-BEA0-19A8E85061D0}" name="Roast Type">
      <calculatedColumnFormula>INDEX(products!$A$1:$G$49,MATCH(orders!$D2,products!$A$1:$A$49,0),MATCH(J$1,products!$A$1:$G$1,0))</calculatedColumnFormula>
    </tableColumn>
    <tableColumn id="11" xr3:uid="{9DF11A55-6FEB-45DF-BD6E-80DE9D0218DC}" name="Size" dataDxfId="3">
      <calculatedColumnFormula>INDEX(products!$A$1:$G$49,MATCH(orders!$D2,products!$A$1:$A$49,0),MATCH(K$1,products!$A$1:$G$1,0))</calculatedColumnFormula>
    </tableColumn>
    <tableColumn id="12" xr3:uid="{D408E3B9-43E3-49FB-9A68-6222C0173533}" name="Unit Price" dataDxfId="2">
      <calculatedColumnFormula>INDEX(products!$A$1:$G$49,MATCH(orders!$D2,products!$A$1:$A$49,0),MATCH(L$1,products!$A$1:$G$1,0))</calculatedColumnFormula>
    </tableColumn>
    <tableColumn id="13" xr3:uid="{A1339A5B-ECF6-4F5A-B78A-A592252668A3}" name="Sales" dataDxfId="1">
      <calculatedColumnFormula>PRODUCT(L2,E2)</calculatedColumnFormula>
    </tableColumn>
    <tableColumn id="14" xr3:uid="{72125EC1-F8B3-410E-A85C-4E7CBC451528}" name="Coffee Type name">
      <calculatedColumnFormula array="1">_xlfn.IFS(I2="Rob","Robusta",I2="Exc","Excelsa",I2="Ara","Arabica",I2="Lib","Liberica")</calculatedColumnFormula>
    </tableColumn>
    <tableColumn id="15" xr3:uid="{B746DCAE-C8DA-4A6A-8892-770EE74A5BBE}" name="Roast type name">
      <calculatedColumnFormula array="1">_xlfn.IFS(J2="M","Medium",J2="L","Light",J2="D","Dark")</calculatedColumnFormula>
    </tableColumn>
    <tableColumn id="16" xr3:uid="{7710C227-CAD5-4A69-95CD-7A9B0F8005CE}"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B4272D-F579-4E4E-8EE6-060FB4E64986}" sourceName="Order Date">
  <pivotTables>
    <pivotTable tabId="18" name="Total sales"/>
    <pivotTable tabId="19" name="Total sales"/>
    <pivotTable tabId="21" name="Total sales"/>
  </pivotTables>
  <state minimalRefreshVersion="6" lastRefreshVersion="6" pivotCacheId="14868540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262AA9-06D3-41AD-8CBB-932D8A1D65AA}" cache="NativeTimeline_Order_Date" caption="Order Date" level="2" selectionLevel="2" scrollPosition="2019-01-01T00:00:00" style="brown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9C1A-288F-421D-A877-A0052B5CF817}">
  <dimension ref="A3:F48"/>
  <sheetViews>
    <sheetView zoomScale="80" zoomScaleNormal="80" workbookViewId="0">
      <selection activeCell="V26" sqref="V26"/>
    </sheetView>
  </sheetViews>
  <sheetFormatPr defaultRowHeight="14.5" x14ac:dyDescent="0.35"/>
  <cols>
    <col min="1" max="1" width="12.36328125" bestFit="1" customWidth="1"/>
    <col min="2" max="2" width="21.90625" bestFit="1" customWidth="1"/>
    <col min="3" max="3" width="19.6328125" bestFit="1" customWidth="1"/>
    <col min="4" max="4" width="7.1796875" bestFit="1" customWidth="1"/>
    <col min="5" max="5" width="7.6328125" bestFit="1" customWidth="1"/>
    <col min="6" max="6" width="8.08984375" bestFit="1" customWidth="1"/>
  </cols>
  <sheetData>
    <row r="3" spans="1:6" x14ac:dyDescent="0.35">
      <c r="A3" s="8" t="s">
        <v>6220</v>
      </c>
      <c r="C3" s="8" t="s">
        <v>6196</v>
      </c>
    </row>
    <row r="4" spans="1:6" x14ac:dyDescent="0.35">
      <c r="A4" s="8" t="s">
        <v>6214</v>
      </c>
      <c r="B4" s="8" t="s">
        <v>6215</v>
      </c>
      <c r="C4" t="s">
        <v>6216</v>
      </c>
      <c r="D4" t="s">
        <v>6217</v>
      </c>
      <c r="E4" t="s">
        <v>6218</v>
      </c>
      <c r="F4" t="s">
        <v>6219</v>
      </c>
    </row>
    <row r="5" spans="1:6" x14ac:dyDescent="0.35">
      <c r="A5" t="s">
        <v>6198</v>
      </c>
      <c r="B5" t="s">
        <v>6202</v>
      </c>
      <c r="C5" s="9">
        <v>186.85499999999999</v>
      </c>
      <c r="D5" s="9">
        <v>305.97000000000003</v>
      </c>
      <c r="E5" s="9">
        <v>213.15999999999997</v>
      </c>
      <c r="F5" s="9">
        <v>123</v>
      </c>
    </row>
    <row r="6" spans="1:6" x14ac:dyDescent="0.35">
      <c r="B6" t="s">
        <v>6203</v>
      </c>
      <c r="C6" s="9">
        <v>251.96499999999997</v>
      </c>
      <c r="D6" s="9">
        <v>129.46</v>
      </c>
      <c r="E6" s="9">
        <v>434.03999999999996</v>
      </c>
      <c r="F6" s="9">
        <v>171.93999999999997</v>
      </c>
    </row>
    <row r="7" spans="1:6" x14ac:dyDescent="0.35">
      <c r="B7" t="s">
        <v>6204</v>
      </c>
      <c r="C7" s="9">
        <v>224.94499999999999</v>
      </c>
      <c r="D7" s="9">
        <v>349.12</v>
      </c>
      <c r="E7" s="9">
        <v>321.04000000000002</v>
      </c>
      <c r="F7" s="9">
        <v>126.035</v>
      </c>
    </row>
    <row r="8" spans="1:6" x14ac:dyDescent="0.35">
      <c r="B8" t="s">
        <v>6205</v>
      </c>
      <c r="C8" s="9">
        <v>307.12</v>
      </c>
      <c r="D8" s="9">
        <v>681.07499999999993</v>
      </c>
      <c r="E8" s="9">
        <v>533.70499999999993</v>
      </c>
      <c r="F8" s="9">
        <v>158.85</v>
      </c>
    </row>
    <row r="9" spans="1:6" x14ac:dyDescent="0.35">
      <c r="B9" t="s">
        <v>6206</v>
      </c>
      <c r="C9" s="9">
        <v>53.664999999999992</v>
      </c>
      <c r="D9" s="9">
        <v>83.025000000000006</v>
      </c>
      <c r="E9" s="9">
        <v>193.83499999999998</v>
      </c>
      <c r="F9" s="9">
        <v>68.039999999999992</v>
      </c>
    </row>
    <row r="10" spans="1:6" x14ac:dyDescent="0.35">
      <c r="B10" t="s">
        <v>6207</v>
      </c>
      <c r="C10" s="9">
        <v>163.01999999999998</v>
      </c>
      <c r="D10" s="9">
        <v>678.3599999999999</v>
      </c>
      <c r="E10" s="9">
        <v>171.04500000000002</v>
      </c>
      <c r="F10" s="9">
        <v>372.255</v>
      </c>
    </row>
    <row r="11" spans="1:6" x14ac:dyDescent="0.35">
      <c r="B11" t="s">
        <v>6208</v>
      </c>
      <c r="C11" s="9">
        <v>345.02</v>
      </c>
      <c r="D11" s="9">
        <v>273.86999999999995</v>
      </c>
      <c r="E11" s="9">
        <v>184.12999999999997</v>
      </c>
      <c r="F11" s="9">
        <v>201.11499999999998</v>
      </c>
    </row>
    <row r="12" spans="1:6" x14ac:dyDescent="0.35">
      <c r="B12" t="s">
        <v>6209</v>
      </c>
      <c r="C12" s="9">
        <v>334.89</v>
      </c>
      <c r="D12" s="9">
        <v>70.95</v>
      </c>
      <c r="E12" s="9">
        <v>134.23000000000002</v>
      </c>
      <c r="F12" s="9">
        <v>166.27499999999998</v>
      </c>
    </row>
    <row r="13" spans="1:6" x14ac:dyDescent="0.35">
      <c r="B13" t="s">
        <v>6210</v>
      </c>
      <c r="C13" s="9">
        <v>178.70999999999998</v>
      </c>
      <c r="D13" s="9">
        <v>166.1</v>
      </c>
      <c r="E13" s="9">
        <v>439.30999999999995</v>
      </c>
      <c r="F13" s="9">
        <v>492.9</v>
      </c>
    </row>
    <row r="14" spans="1:6" x14ac:dyDescent="0.35">
      <c r="B14" t="s">
        <v>6211</v>
      </c>
      <c r="C14" s="9">
        <v>301.98500000000001</v>
      </c>
      <c r="D14" s="9">
        <v>153.76499999999999</v>
      </c>
      <c r="E14" s="9">
        <v>215.55499999999998</v>
      </c>
      <c r="F14" s="9">
        <v>213.66499999999999</v>
      </c>
    </row>
    <row r="15" spans="1:6" x14ac:dyDescent="0.35">
      <c r="B15" t="s">
        <v>6212</v>
      </c>
      <c r="C15" s="9">
        <v>312.83499999999998</v>
      </c>
      <c r="D15" s="9">
        <v>63.249999999999993</v>
      </c>
      <c r="E15" s="9">
        <v>350.89500000000004</v>
      </c>
      <c r="F15" s="9">
        <v>96.405000000000001</v>
      </c>
    </row>
    <row r="16" spans="1:6" x14ac:dyDescent="0.35">
      <c r="B16" t="s">
        <v>6213</v>
      </c>
      <c r="C16" s="9">
        <v>265.62</v>
      </c>
      <c r="D16" s="9">
        <v>526.51499999999987</v>
      </c>
      <c r="E16" s="9">
        <v>187.06</v>
      </c>
      <c r="F16" s="9">
        <v>210.58999999999997</v>
      </c>
    </row>
    <row r="17" spans="1:6" x14ac:dyDescent="0.35">
      <c r="A17" t="s">
        <v>6199</v>
      </c>
      <c r="B17" t="s">
        <v>6202</v>
      </c>
      <c r="C17" s="9">
        <v>47.25</v>
      </c>
      <c r="D17" s="9">
        <v>65.805000000000007</v>
      </c>
      <c r="E17" s="9">
        <v>274.67500000000001</v>
      </c>
      <c r="F17" s="9">
        <v>179.22</v>
      </c>
    </row>
    <row r="18" spans="1:6" x14ac:dyDescent="0.35">
      <c r="B18" t="s">
        <v>6203</v>
      </c>
      <c r="C18" s="9">
        <v>745.44999999999993</v>
      </c>
      <c r="D18" s="9">
        <v>428.88499999999999</v>
      </c>
      <c r="E18" s="9">
        <v>194.17499999999998</v>
      </c>
      <c r="F18" s="9">
        <v>429.82999999999993</v>
      </c>
    </row>
    <row r="19" spans="1:6" x14ac:dyDescent="0.35">
      <c r="B19" t="s">
        <v>6204</v>
      </c>
      <c r="C19" s="9">
        <v>130.47</v>
      </c>
      <c r="D19" s="9">
        <v>271.48500000000001</v>
      </c>
      <c r="E19" s="9">
        <v>281.20499999999998</v>
      </c>
      <c r="F19" s="9">
        <v>231.63000000000002</v>
      </c>
    </row>
    <row r="20" spans="1:6" x14ac:dyDescent="0.35">
      <c r="B20" t="s">
        <v>6205</v>
      </c>
      <c r="C20" s="9">
        <v>27</v>
      </c>
      <c r="D20" s="9">
        <v>347.26</v>
      </c>
      <c r="E20" s="9">
        <v>147.51</v>
      </c>
      <c r="F20" s="9">
        <v>240.04</v>
      </c>
    </row>
    <row r="21" spans="1:6" x14ac:dyDescent="0.35">
      <c r="B21" t="s">
        <v>6206</v>
      </c>
      <c r="C21" s="9">
        <v>255.11499999999995</v>
      </c>
      <c r="D21" s="9">
        <v>541.73</v>
      </c>
      <c r="E21" s="9">
        <v>83.43</v>
      </c>
      <c r="F21" s="9">
        <v>59.079999999999991</v>
      </c>
    </row>
    <row r="22" spans="1:6" x14ac:dyDescent="0.35">
      <c r="B22" t="s">
        <v>6207</v>
      </c>
      <c r="C22" s="9">
        <v>584.78999999999985</v>
      </c>
      <c r="D22" s="9">
        <v>357.42999999999995</v>
      </c>
      <c r="E22" s="9">
        <v>355.34</v>
      </c>
      <c r="F22" s="9">
        <v>140.88</v>
      </c>
    </row>
    <row r="23" spans="1:6" x14ac:dyDescent="0.35">
      <c r="B23" t="s">
        <v>6208</v>
      </c>
      <c r="C23" s="9">
        <v>430.62</v>
      </c>
      <c r="D23" s="9">
        <v>227.42500000000001</v>
      </c>
      <c r="E23" s="9">
        <v>236.315</v>
      </c>
      <c r="F23" s="9">
        <v>414.58499999999992</v>
      </c>
    </row>
    <row r="24" spans="1:6" x14ac:dyDescent="0.35">
      <c r="B24" t="s">
        <v>6209</v>
      </c>
      <c r="C24" s="9">
        <v>22.5</v>
      </c>
      <c r="D24" s="9">
        <v>77.72</v>
      </c>
      <c r="E24" s="9">
        <v>60.5</v>
      </c>
      <c r="F24" s="9">
        <v>139.67999999999998</v>
      </c>
    </row>
    <row r="25" spans="1:6" x14ac:dyDescent="0.35">
      <c r="B25" t="s">
        <v>6210</v>
      </c>
      <c r="C25" s="9">
        <v>126.14999999999999</v>
      </c>
      <c r="D25" s="9">
        <v>195.11</v>
      </c>
      <c r="E25" s="9">
        <v>89.13</v>
      </c>
      <c r="F25" s="9">
        <v>302.65999999999997</v>
      </c>
    </row>
    <row r="26" spans="1:6" x14ac:dyDescent="0.35">
      <c r="B26" t="s">
        <v>6211</v>
      </c>
      <c r="C26" s="9">
        <v>376.03</v>
      </c>
      <c r="D26" s="9">
        <v>523.24</v>
      </c>
      <c r="E26" s="9">
        <v>440.96499999999997</v>
      </c>
      <c r="F26" s="9">
        <v>174.46999999999997</v>
      </c>
    </row>
    <row r="27" spans="1:6" x14ac:dyDescent="0.35">
      <c r="B27" t="s">
        <v>6212</v>
      </c>
      <c r="C27" s="9">
        <v>515.17999999999995</v>
      </c>
      <c r="D27" s="9">
        <v>142.56</v>
      </c>
      <c r="E27" s="9">
        <v>347.03999999999996</v>
      </c>
      <c r="F27" s="9">
        <v>104.08499999999999</v>
      </c>
    </row>
    <row r="28" spans="1:6" x14ac:dyDescent="0.35">
      <c r="B28" t="s">
        <v>6213</v>
      </c>
      <c r="C28" s="9">
        <v>95.859999999999985</v>
      </c>
      <c r="D28" s="9">
        <v>484.76</v>
      </c>
      <c r="E28" s="9">
        <v>94.17</v>
      </c>
      <c r="F28" s="9">
        <v>77.10499999999999</v>
      </c>
    </row>
    <row r="29" spans="1:6" x14ac:dyDescent="0.35">
      <c r="A29" t="s">
        <v>6200</v>
      </c>
      <c r="B29" t="s">
        <v>6202</v>
      </c>
      <c r="C29" s="9">
        <v>258.34500000000003</v>
      </c>
      <c r="D29" s="9">
        <v>139.625</v>
      </c>
      <c r="E29" s="9">
        <v>279.52000000000004</v>
      </c>
      <c r="F29" s="9">
        <v>160.19499999999999</v>
      </c>
    </row>
    <row r="30" spans="1:6" x14ac:dyDescent="0.35">
      <c r="B30" t="s">
        <v>6203</v>
      </c>
      <c r="C30" s="9">
        <v>342.2</v>
      </c>
      <c r="D30" s="9">
        <v>284.24999999999994</v>
      </c>
      <c r="E30" s="9">
        <v>251.83</v>
      </c>
      <c r="F30" s="9">
        <v>80.550000000000011</v>
      </c>
    </row>
    <row r="31" spans="1:6" x14ac:dyDescent="0.35">
      <c r="B31" t="s">
        <v>6204</v>
      </c>
      <c r="C31" s="9">
        <v>418.30499999999989</v>
      </c>
      <c r="D31" s="9">
        <v>468.125</v>
      </c>
      <c r="E31" s="9">
        <v>405.05500000000006</v>
      </c>
      <c r="F31" s="9">
        <v>253.15499999999997</v>
      </c>
    </row>
    <row r="32" spans="1:6" x14ac:dyDescent="0.35">
      <c r="B32" t="s">
        <v>6205</v>
      </c>
      <c r="C32" s="9">
        <v>102.32999999999998</v>
      </c>
      <c r="D32" s="9">
        <v>242.14000000000001</v>
      </c>
      <c r="E32" s="9">
        <v>554.875</v>
      </c>
      <c r="F32" s="9">
        <v>106.23999999999998</v>
      </c>
    </row>
    <row r="33" spans="1:6" x14ac:dyDescent="0.35">
      <c r="B33" t="s">
        <v>6206</v>
      </c>
      <c r="C33" s="9">
        <v>234.71999999999997</v>
      </c>
      <c r="D33" s="9">
        <v>133.08000000000001</v>
      </c>
      <c r="E33" s="9">
        <v>267.2</v>
      </c>
      <c r="F33" s="9">
        <v>272.68999999999994</v>
      </c>
    </row>
    <row r="34" spans="1:6" x14ac:dyDescent="0.35">
      <c r="B34" t="s">
        <v>6207</v>
      </c>
      <c r="C34" s="9">
        <v>430.39</v>
      </c>
      <c r="D34" s="9">
        <v>136.20500000000001</v>
      </c>
      <c r="E34" s="9">
        <v>209.6</v>
      </c>
      <c r="F34" s="9">
        <v>88.334999999999994</v>
      </c>
    </row>
    <row r="35" spans="1:6" x14ac:dyDescent="0.35">
      <c r="B35" t="s">
        <v>6208</v>
      </c>
      <c r="C35" s="9">
        <v>109.005</v>
      </c>
      <c r="D35" s="9">
        <v>393.57499999999999</v>
      </c>
      <c r="E35" s="9">
        <v>61.034999999999997</v>
      </c>
      <c r="F35" s="9">
        <v>199.48999999999998</v>
      </c>
    </row>
    <row r="36" spans="1:6" x14ac:dyDescent="0.35">
      <c r="B36" t="s">
        <v>6209</v>
      </c>
      <c r="C36" s="9">
        <v>287.52499999999998</v>
      </c>
      <c r="D36" s="9">
        <v>288.67</v>
      </c>
      <c r="E36" s="9">
        <v>125.58</v>
      </c>
      <c r="F36" s="9">
        <v>374.13499999999999</v>
      </c>
    </row>
    <row r="37" spans="1:6" x14ac:dyDescent="0.35">
      <c r="B37" t="s">
        <v>6210</v>
      </c>
      <c r="C37" s="9">
        <v>840.92999999999984</v>
      </c>
      <c r="D37" s="9">
        <v>409.875</v>
      </c>
      <c r="E37" s="9">
        <v>171.32999999999998</v>
      </c>
      <c r="F37" s="9">
        <v>221.43999999999997</v>
      </c>
    </row>
    <row r="38" spans="1:6" x14ac:dyDescent="0.35">
      <c r="B38" t="s">
        <v>6211</v>
      </c>
      <c r="C38" s="9">
        <v>299.07</v>
      </c>
      <c r="D38" s="9">
        <v>260.32499999999999</v>
      </c>
      <c r="E38" s="9">
        <v>584.64</v>
      </c>
      <c r="F38" s="9">
        <v>256.36500000000001</v>
      </c>
    </row>
    <row r="39" spans="1:6" x14ac:dyDescent="0.35">
      <c r="B39" t="s">
        <v>6212</v>
      </c>
      <c r="C39" s="9">
        <v>323.32499999999999</v>
      </c>
      <c r="D39" s="9">
        <v>565.57000000000005</v>
      </c>
      <c r="E39" s="9">
        <v>537.80999999999995</v>
      </c>
      <c r="F39" s="9">
        <v>189.47499999999999</v>
      </c>
    </row>
    <row r="40" spans="1:6" x14ac:dyDescent="0.35">
      <c r="B40" t="s">
        <v>6213</v>
      </c>
      <c r="C40" s="9">
        <v>399.48499999999996</v>
      </c>
      <c r="D40" s="9">
        <v>148.19999999999999</v>
      </c>
      <c r="E40" s="9">
        <v>388.21999999999997</v>
      </c>
      <c r="F40" s="9">
        <v>212.07499999999999</v>
      </c>
    </row>
    <row r="41" spans="1:6" x14ac:dyDescent="0.35">
      <c r="A41" t="s">
        <v>6201</v>
      </c>
      <c r="B41" t="s">
        <v>6202</v>
      </c>
      <c r="C41" s="9">
        <v>112.69499999999999</v>
      </c>
      <c r="D41" s="9">
        <v>166.32</v>
      </c>
      <c r="E41" s="9">
        <v>843.71499999999992</v>
      </c>
      <c r="F41" s="9">
        <v>146.685</v>
      </c>
    </row>
    <row r="42" spans="1:6" x14ac:dyDescent="0.35">
      <c r="B42" t="s">
        <v>6203</v>
      </c>
      <c r="C42" s="9">
        <v>114.87999999999998</v>
      </c>
      <c r="D42" s="9">
        <v>133.815</v>
      </c>
      <c r="E42" s="9">
        <v>91.175000000000011</v>
      </c>
      <c r="F42" s="9">
        <v>53.759999999999991</v>
      </c>
    </row>
    <row r="43" spans="1:6" x14ac:dyDescent="0.35">
      <c r="B43" t="s">
        <v>6204</v>
      </c>
      <c r="C43" s="9">
        <v>277.76</v>
      </c>
      <c r="D43" s="9">
        <v>175.41</v>
      </c>
      <c r="E43" s="9">
        <v>462.50999999999993</v>
      </c>
      <c r="F43" s="9">
        <v>399.52499999999998</v>
      </c>
    </row>
    <row r="44" spans="1:6" x14ac:dyDescent="0.35">
      <c r="B44" t="s">
        <v>6205</v>
      </c>
      <c r="C44" s="9">
        <v>197.89499999999998</v>
      </c>
      <c r="D44" s="9">
        <v>289.755</v>
      </c>
      <c r="E44" s="9">
        <v>88.545000000000002</v>
      </c>
      <c r="F44" s="9">
        <v>200.25499999999997</v>
      </c>
    </row>
    <row r="45" spans="1:6" x14ac:dyDescent="0.35">
      <c r="B45" t="s">
        <v>6206</v>
      </c>
      <c r="C45" s="9">
        <v>193.11499999999998</v>
      </c>
      <c r="D45" s="9">
        <v>212.49499999999998</v>
      </c>
      <c r="E45" s="9">
        <v>292.29000000000002</v>
      </c>
      <c r="F45" s="9">
        <v>304.46999999999997</v>
      </c>
    </row>
    <row r="46" spans="1:6" x14ac:dyDescent="0.35">
      <c r="B46" t="s">
        <v>6207</v>
      </c>
      <c r="C46" s="9">
        <v>179.79</v>
      </c>
      <c r="D46" s="9">
        <v>426.2</v>
      </c>
      <c r="E46" s="9">
        <v>170.08999999999997</v>
      </c>
      <c r="F46" s="9">
        <v>379.31</v>
      </c>
    </row>
    <row r="47" spans="1:6" x14ac:dyDescent="0.35">
      <c r="B47" t="s">
        <v>6208</v>
      </c>
      <c r="C47" s="9">
        <v>247.28999999999996</v>
      </c>
      <c r="D47" s="9">
        <v>246.685</v>
      </c>
      <c r="E47" s="9">
        <v>271.05499999999995</v>
      </c>
      <c r="F47" s="9">
        <v>141.69999999999999</v>
      </c>
    </row>
    <row r="48" spans="1:6" x14ac:dyDescent="0.35">
      <c r="B48" t="s">
        <v>6209</v>
      </c>
      <c r="C48" s="9">
        <v>116.39499999999998</v>
      </c>
      <c r="D48" s="9">
        <v>41.25</v>
      </c>
      <c r="E48" s="9">
        <v>15.54</v>
      </c>
      <c r="F48"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01651-8C5C-4F81-B575-D842B1950A00}">
  <dimension ref="A3:B6"/>
  <sheetViews>
    <sheetView zoomScale="90" zoomScaleNormal="90" workbookViewId="0">
      <selection activeCell="B12" sqref="B12"/>
    </sheetView>
  </sheetViews>
  <sheetFormatPr defaultRowHeight="14.5" x14ac:dyDescent="0.35"/>
  <cols>
    <col min="1" max="1" width="14.6328125" bestFit="1" customWidth="1"/>
    <col min="2" max="2" width="11.54296875" bestFit="1" customWidth="1"/>
    <col min="3" max="3" width="7" bestFit="1" customWidth="1"/>
    <col min="4" max="4" width="7.36328125" bestFit="1" customWidth="1"/>
    <col min="5" max="5" width="7.90625" bestFit="1" customWidth="1"/>
    <col min="6" max="6" width="8.08984375" bestFit="1" customWidth="1"/>
  </cols>
  <sheetData>
    <row r="3" spans="1:2" x14ac:dyDescent="0.35">
      <c r="A3" s="8" t="s">
        <v>7</v>
      </c>
      <c r="B3" t="s">
        <v>6220</v>
      </c>
    </row>
    <row r="4" spans="1:2" x14ac:dyDescent="0.35">
      <c r="A4" t="s">
        <v>28</v>
      </c>
      <c r="B4" s="11">
        <v>2798.5050000000001</v>
      </c>
    </row>
    <row r="5" spans="1:2" x14ac:dyDescent="0.35">
      <c r="A5" t="s">
        <v>318</v>
      </c>
      <c r="B5" s="11">
        <v>6696.8649999999989</v>
      </c>
    </row>
    <row r="6" spans="1:2" x14ac:dyDescent="0.35">
      <c r="A6" t="s">
        <v>19</v>
      </c>
      <c r="B6" s="11">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BF51-C9E5-441F-9B19-018DD6DCBE11}">
  <dimension ref="A3:B8"/>
  <sheetViews>
    <sheetView zoomScale="90" zoomScaleNormal="90" workbookViewId="0">
      <selection activeCell="B3" sqref="B3"/>
    </sheetView>
  </sheetViews>
  <sheetFormatPr defaultRowHeight="14.5" x14ac:dyDescent="0.35"/>
  <cols>
    <col min="1" max="1" width="17.1796875" bestFit="1" customWidth="1"/>
    <col min="2" max="2" width="11.54296875" bestFit="1" customWidth="1"/>
    <col min="3" max="3" width="7" bestFit="1" customWidth="1"/>
    <col min="4" max="4" width="7.36328125" bestFit="1" customWidth="1"/>
    <col min="5" max="5" width="7.90625" bestFit="1" customWidth="1"/>
    <col min="6" max="6" width="8.08984375" bestFit="1" customWidth="1"/>
  </cols>
  <sheetData>
    <row r="3" spans="1:2" x14ac:dyDescent="0.35">
      <c r="A3" s="8" t="s">
        <v>4</v>
      </c>
      <c r="B3" t="s">
        <v>6220</v>
      </c>
    </row>
    <row r="4" spans="1:2" x14ac:dyDescent="0.35">
      <c r="A4" t="s">
        <v>3753</v>
      </c>
      <c r="B4" s="11">
        <v>278.01</v>
      </c>
    </row>
    <row r="5" spans="1:2" x14ac:dyDescent="0.35">
      <c r="A5" t="s">
        <v>1598</v>
      </c>
      <c r="B5" s="11">
        <v>281.67499999999995</v>
      </c>
    </row>
    <row r="6" spans="1:2" x14ac:dyDescent="0.35">
      <c r="A6" t="s">
        <v>2587</v>
      </c>
      <c r="B6" s="11">
        <v>289.11</v>
      </c>
    </row>
    <row r="7" spans="1:2" x14ac:dyDescent="0.35">
      <c r="A7" t="s">
        <v>5765</v>
      </c>
      <c r="B7" s="11">
        <v>307.04499999999996</v>
      </c>
    </row>
    <row r="8" spans="1:2" x14ac:dyDescent="0.35">
      <c r="A8" t="s">
        <v>5114</v>
      </c>
      <c r="B8" s="11">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0D1E-3C03-4CD4-A585-849431CF0A29}">
  <dimension ref="B1:X25"/>
  <sheetViews>
    <sheetView showGridLines="0" tabSelected="1" zoomScale="80" zoomScaleNormal="80" workbookViewId="0">
      <selection activeCell="V37" sqref="V37"/>
    </sheetView>
  </sheetViews>
  <sheetFormatPr defaultRowHeight="14.5" x14ac:dyDescent="0.35"/>
  <cols>
    <col min="1" max="1" width="1.6328125" customWidth="1"/>
    <col min="16" max="16" width="1.6328125" customWidth="1"/>
  </cols>
  <sheetData>
    <row r="1" spans="2:24" ht="5" customHeight="1" x14ac:dyDescent="0.35"/>
    <row r="2" spans="2:24" x14ac:dyDescent="0.35">
      <c r="B2" s="12" t="s">
        <v>6222</v>
      </c>
      <c r="C2" s="13"/>
      <c r="D2" s="13"/>
      <c r="E2" s="13"/>
      <c r="F2" s="13"/>
      <c r="G2" s="13"/>
      <c r="H2" s="13"/>
      <c r="I2" s="13"/>
      <c r="J2" s="13"/>
      <c r="K2" s="13"/>
      <c r="L2" s="13"/>
      <c r="M2" s="13"/>
      <c r="N2" s="13"/>
      <c r="O2" s="13"/>
      <c r="P2" s="13"/>
      <c r="Q2" s="13"/>
      <c r="R2" s="13"/>
      <c r="S2" s="13"/>
      <c r="T2" s="13"/>
      <c r="U2" s="13"/>
      <c r="V2" s="13"/>
      <c r="W2" s="13"/>
      <c r="X2" s="13"/>
    </row>
    <row r="3" spans="2:24" x14ac:dyDescent="0.35">
      <c r="B3" s="13"/>
      <c r="C3" s="13"/>
      <c r="D3" s="13"/>
      <c r="E3" s="13"/>
      <c r="F3" s="13"/>
      <c r="G3" s="13"/>
      <c r="H3" s="13"/>
      <c r="I3" s="13"/>
      <c r="J3" s="13"/>
      <c r="K3" s="13"/>
      <c r="L3" s="13"/>
      <c r="M3" s="13"/>
      <c r="N3" s="13"/>
      <c r="O3" s="13"/>
      <c r="P3" s="13"/>
      <c r="Q3" s="13"/>
      <c r="R3" s="13"/>
      <c r="S3" s="13"/>
      <c r="T3" s="13"/>
      <c r="U3" s="13"/>
      <c r="V3" s="13"/>
      <c r="W3" s="13"/>
      <c r="X3" s="13"/>
    </row>
    <row r="4" spans="2:24" x14ac:dyDescent="0.35">
      <c r="B4" s="13"/>
      <c r="C4" s="13"/>
      <c r="D4" s="13"/>
      <c r="E4" s="13"/>
      <c r="F4" s="13"/>
      <c r="G4" s="13"/>
      <c r="H4" s="13"/>
      <c r="I4" s="13"/>
      <c r="J4" s="13"/>
      <c r="K4" s="13"/>
      <c r="L4" s="13"/>
      <c r="M4" s="13"/>
      <c r="N4" s="13"/>
      <c r="O4" s="13"/>
      <c r="P4" s="13"/>
      <c r="Q4" s="13"/>
      <c r="R4" s="13"/>
      <c r="S4" s="13"/>
      <c r="T4" s="13"/>
      <c r="U4" s="13"/>
      <c r="V4" s="13"/>
      <c r="W4" s="13"/>
      <c r="X4" s="13"/>
    </row>
    <row r="5" spans="2:24" ht="8" customHeight="1" x14ac:dyDescent="0.35"/>
    <row r="10" spans="2:24" ht="8" customHeight="1" x14ac:dyDescent="0.35"/>
    <row r="16" spans="2:24" ht="8" customHeight="1" x14ac:dyDescent="0.35"/>
    <row r="25" ht="8" customHeight="1" x14ac:dyDescent="0.35"/>
  </sheetData>
  <mergeCells count="1">
    <mergeCell ref="B2:X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Normal="100" workbookViewId="0">
      <selection activeCell="P3" sqref="P3"/>
    </sheetView>
  </sheetViews>
  <sheetFormatPr defaultRowHeight="14.5" x14ac:dyDescent="0.35"/>
  <cols>
    <col min="1" max="1" width="16.54296875" bestFit="1" customWidth="1"/>
    <col min="2" max="2" width="12.1796875" customWidth="1"/>
    <col min="3" max="3" width="17.453125" bestFit="1" customWidth="1"/>
    <col min="4" max="4" width="11.7265625" customWidth="1"/>
    <col min="5" max="5" width="10.1796875" customWidth="1"/>
    <col min="6" max="6" width="16.36328125" customWidth="1"/>
    <col min="7" max="7" width="29.90625" customWidth="1"/>
    <col min="8" max="8" width="16.453125" customWidth="1"/>
    <col min="9" max="9" width="17.1796875" customWidth="1"/>
    <col min="10" max="10" width="12" customWidth="1"/>
    <col min="11" max="11" width="6" customWidth="1"/>
    <col min="12" max="12" width="10.90625" customWidth="1"/>
    <col min="13" max="13" width="9.54296875" customWidth="1"/>
    <col min="14" max="14" width="17.90625" customWidth="1"/>
    <col min="15" max="15" width="16.90625" customWidth="1"/>
    <col min="16" max="16" width="13" customWidth="1"/>
  </cols>
  <sheetData>
    <row r="1" spans="1:16" s="3" customFormat="1" x14ac:dyDescent="0.35">
      <c r="A1" s="4" t="s">
        <v>0</v>
      </c>
      <c r="B1" s="4" t="s">
        <v>1</v>
      </c>
      <c r="C1" s="4" t="s">
        <v>3</v>
      </c>
      <c r="D1" s="4" t="s">
        <v>11</v>
      </c>
      <c r="E1" s="4" t="s">
        <v>14</v>
      </c>
      <c r="F1" s="4" t="s">
        <v>4</v>
      </c>
      <c r="G1" s="4" t="s">
        <v>2</v>
      </c>
      <c r="H1" s="4" t="s">
        <v>7</v>
      </c>
      <c r="I1" s="4" t="s">
        <v>9</v>
      </c>
      <c r="J1" s="4" t="s">
        <v>10</v>
      </c>
      <c r="K1" s="4" t="s">
        <v>12</v>
      </c>
      <c r="L1" s="4" t="s">
        <v>13</v>
      </c>
      <c r="M1" s="4" t="s">
        <v>15</v>
      </c>
      <c r="N1" s="10" t="s">
        <v>6196</v>
      </c>
      <c r="O1" s="3" t="s">
        <v>6197</v>
      </c>
      <c r="P1" s="4" t="s">
        <v>6221</v>
      </c>
    </row>
    <row r="2" spans="1:16" x14ac:dyDescent="0.35">
      <c r="A2" s="2" t="s">
        <v>490</v>
      </c>
      <c r="B2" s="5">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6">
        <f>INDEX(products!$A$1:$G$49,MATCH(orders!$D2,products!$A$1:$A$49,0),MATCH(K$1,products!$A$1:$G$1,0))</f>
        <v>1</v>
      </c>
      <c r="L2" s="7">
        <f>INDEX(products!$A$1:$G$49,MATCH(orders!$D2,products!$A$1:$A$49,0),MATCH(L$1,products!$A$1:$G$1,0))</f>
        <v>9.9499999999999993</v>
      </c>
      <c r="M2" s="7">
        <f>PRODUCT(L2,E2)</f>
        <v>19.899999999999999</v>
      </c>
      <c r="N2" t="str" cm="1">
        <f t="array" ref="N2">_xlfn.IFS(I2="Rob","Robusta",I2="Exc","Excelsa",I2="Ara","Arabica",I2="Lib","Liberica")</f>
        <v>Robusta</v>
      </c>
      <c r="O2" t="str" cm="1">
        <f t="array" ref="O2">_xlfn.IFS(J2="M","Medium",J2="L","Light",J2="D","Dark")</f>
        <v>Medium</v>
      </c>
      <c r="P2" t="str">
        <f>_xlfn.XLOOKUP(Orders[[#This Row],[Customer ID]],customers!$A$1:$A$1001,customers!$I$1:$I$1001,,0)</f>
        <v>Yes</v>
      </c>
    </row>
    <row r="3" spans="1:16" x14ac:dyDescent="0.35">
      <c r="A3" s="2" t="s">
        <v>490</v>
      </c>
      <c r="B3" s="5">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6">
        <f>INDEX(products!$A$1:$G$49,MATCH(orders!$D3,products!$A$1:$A$49,0),MATCH(K$1,products!$A$1:$G$1,0))</f>
        <v>0.5</v>
      </c>
      <c r="L3" s="7">
        <f>INDEX(products!$A$1:$G$49,MATCH(orders!$D3,products!$A$1:$A$49,0),MATCH(L$1,products!$A$1:$G$1,0))</f>
        <v>8.25</v>
      </c>
      <c r="M3" s="7">
        <f t="shared" ref="M3:M66" si="0">PRODUCT(L3,E3)</f>
        <v>41.25</v>
      </c>
      <c r="N3" t="str" cm="1">
        <f t="array" ref="N3">_xlfn.IFS(I3="Rob","Robusta",I3="Exc","Excelsa",I3="Ara","Arabica",I3="Lib","Liberica")</f>
        <v>Excelsa</v>
      </c>
      <c r="O3" t="str" cm="1">
        <f t="array" ref="O3">_xlfn.IFS(J3="M","Medium",J3="L","Light",J3="D","Dark")</f>
        <v>Medium</v>
      </c>
      <c r="P3" t="str">
        <f>_xlfn.XLOOKUP(Orders[[#This Row],[Customer ID]],customers!$A$1:$A$1001,customers!$I$1:$I$1001,,0)</f>
        <v>Yes</v>
      </c>
    </row>
    <row r="4" spans="1:16" x14ac:dyDescent="0.35">
      <c r="A4" s="2" t="s">
        <v>501</v>
      </c>
      <c r="B4" s="5">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6">
        <f>INDEX(products!$A$1:$G$49,MATCH(orders!$D4,products!$A$1:$A$49,0),MATCH(K$1,products!$A$1:$G$1,0))</f>
        <v>1</v>
      </c>
      <c r="L4" s="7">
        <f>INDEX(products!$A$1:$G$49,MATCH(orders!$D4,products!$A$1:$A$49,0),MATCH(L$1,products!$A$1:$G$1,0))</f>
        <v>12.95</v>
      </c>
      <c r="M4" s="7">
        <f t="shared" si="0"/>
        <v>12.95</v>
      </c>
      <c r="N4" t="str" cm="1">
        <f t="array" ref="N4">_xlfn.IFS(I4="Rob","Robusta",I4="Exc","Excelsa",I4="Ara","Arabica",I4="Lib","Liberica")</f>
        <v>Arabica</v>
      </c>
      <c r="O4" t="str" cm="1">
        <f t="array" ref="O4">_xlfn.IFS(J4="M","Medium",J4="L","Light",J4="D","Dark")</f>
        <v>Light</v>
      </c>
      <c r="P4" t="str">
        <f>_xlfn.XLOOKUP(Orders[[#This Row],[Customer ID]],customers!$A$1:$A$1001,customers!$I$1:$I$1001,,0)</f>
        <v>Yes</v>
      </c>
    </row>
    <row r="5" spans="1:16" x14ac:dyDescent="0.35">
      <c r="A5" s="2" t="s">
        <v>512</v>
      </c>
      <c r="B5" s="5">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6">
        <f>INDEX(products!$A$1:$G$49,MATCH(orders!$D5,products!$A$1:$A$49,0),MATCH(K$1,products!$A$1:$G$1,0))</f>
        <v>1</v>
      </c>
      <c r="L5" s="7">
        <f>INDEX(products!$A$1:$G$49,MATCH(orders!$D5,products!$A$1:$A$49,0),MATCH(L$1,products!$A$1:$G$1,0))</f>
        <v>13.75</v>
      </c>
      <c r="M5" s="7">
        <f t="shared" si="0"/>
        <v>27.5</v>
      </c>
      <c r="N5" t="str" cm="1">
        <f t="array" ref="N5">_xlfn.IFS(I5="Rob","Robusta",I5="Exc","Excelsa",I5="Ara","Arabica",I5="Lib","Liberica")</f>
        <v>Excelsa</v>
      </c>
      <c r="O5" t="str" cm="1">
        <f t="array" ref="O5">_xlfn.IFS(J5="M","Medium",J5="L","Light",J5="D","Dark")</f>
        <v>Medium</v>
      </c>
      <c r="P5" t="str">
        <f>_xlfn.XLOOKUP(Orders[[#This Row],[Customer ID]],customers!$A$1:$A$1001,customers!$I$1:$I$1001,,0)</f>
        <v>No</v>
      </c>
    </row>
    <row r="6" spans="1:16" x14ac:dyDescent="0.35">
      <c r="A6" s="2" t="s">
        <v>512</v>
      </c>
      <c r="B6" s="5">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6">
        <f>INDEX(products!$A$1:$G$49,MATCH(orders!$D6,products!$A$1:$A$49,0),MATCH(K$1,products!$A$1:$G$1,0))</f>
        <v>2.5</v>
      </c>
      <c r="L6" s="7">
        <f>INDEX(products!$A$1:$G$49,MATCH(orders!$D6,products!$A$1:$A$49,0),MATCH(L$1,products!$A$1:$G$1,0))</f>
        <v>27.484999999999996</v>
      </c>
      <c r="M6" s="7">
        <f t="shared" si="0"/>
        <v>54.969999999999992</v>
      </c>
      <c r="N6" t="str" cm="1">
        <f t="array" ref="N6">_xlfn.IFS(I6="Rob","Robusta",I6="Exc","Excelsa",I6="Ara","Arabica",I6="Lib","Liberica")</f>
        <v>Robusta</v>
      </c>
      <c r="O6" t="str" cm="1">
        <f t="array" ref="O6">_xlfn.IFS(J6="M","Medium",J6="L","Light",J6="D","Dark")</f>
        <v>Light</v>
      </c>
      <c r="P6" t="str">
        <f>_xlfn.XLOOKUP(Orders[[#This Row],[Customer ID]],customers!$A$1:$A$1001,customers!$I$1:$I$1001,,0)</f>
        <v>No</v>
      </c>
    </row>
    <row r="7" spans="1:16" x14ac:dyDescent="0.35">
      <c r="A7" s="2" t="s">
        <v>519</v>
      </c>
      <c r="B7" s="5">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6">
        <f>INDEX(products!$A$1:$G$49,MATCH(orders!$D7,products!$A$1:$A$49,0),MATCH(K$1,products!$A$1:$G$1,0))</f>
        <v>1</v>
      </c>
      <c r="L7" s="7">
        <f>INDEX(products!$A$1:$G$49,MATCH(orders!$D7,products!$A$1:$A$49,0),MATCH(L$1,products!$A$1:$G$1,0))</f>
        <v>12.95</v>
      </c>
      <c r="M7" s="7">
        <f t="shared" si="0"/>
        <v>38.849999999999994</v>
      </c>
      <c r="N7" t="str" cm="1">
        <f t="array" ref="N7">_xlfn.IFS(I7="Rob","Robusta",I7="Exc","Excelsa",I7="Ara","Arabica",I7="Lib","Liberica")</f>
        <v>Liberica</v>
      </c>
      <c r="O7" t="str" cm="1">
        <f t="array" ref="O7">_xlfn.IFS(J7="M","Medium",J7="L","Light",J7="D","Dark")</f>
        <v>Dark</v>
      </c>
      <c r="P7" t="str">
        <f>_xlfn.XLOOKUP(Orders[[#This Row],[Customer ID]],customers!$A$1:$A$1001,customers!$I$1:$I$1001,,0)</f>
        <v>No</v>
      </c>
    </row>
    <row r="8" spans="1:16" x14ac:dyDescent="0.35">
      <c r="A8" s="2" t="s">
        <v>524</v>
      </c>
      <c r="B8" s="5">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6">
        <f>INDEX(products!$A$1:$G$49,MATCH(orders!$D8,products!$A$1:$A$49,0),MATCH(K$1,products!$A$1:$G$1,0))</f>
        <v>0.5</v>
      </c>
      <c r="L8" s="7">
        <f>INDEX(products!$A$1:$G$49,MATCH(orders!$D8,products!$A$1:$A$49,0),MATCH(L$1,products!$A$1:$G$1,0))</f>
        <v>7.29</v>
      </c>
      <c r="M8" s="7">
        <f t="shared" si="0"/>
        <v>21.87</v>
      </c>
      <c r="N8" t="str" cm="1">
        <f t="array" ref="N8">_xlfn.IFS(I8="Rob","Robusta",I8="Exc","Excelsa",I8="Ara","Arabica",I8="Lib","Liberica")</f>
        <v>Excelsa</v>
      </c>
      <c r="O8" t="str" cm="1">
        <f t="array" ref="O8">_xlfn.IFS(J8="M","Medium",J8="L","Light",J8="D","Dark")</f>
        <v>Dark</v>
      </c>
      <c r="P8" t="str">
        <f>_xlfn.XLOOKUP(Orders[[#This Row],[Customer ID]],customers!$A$1:$A$1001,customers!$I$1:$I$1001,,0)</f>
        <v>Yes</v>
      </c>
    </row>
    <row r="9" spans="1:16" x14ac:dyDescent="0.35">
      <c r="A9" s="2" t="s">
        <v>530</v>
      </c>
      <c r="B9" s="5">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6">
        <f>INDEX(products!$A$1:$G$49,MATCH(orders!$D9,products!$A$1:$A$49,0),MATCH(K$1,products!$A$1:$G$1,0))</f>
        <v>0.2</v>
      </c>
      <c r="L9" s="7">
        <f>INDEX(products!$A$1:$G$49,MATCH(orders!$D9,products!$A$1:$A$49,0),MATCH(L$1,products!$A$1:$G$1,0))</f>
        <v>4.7549999999999999</v>
      </c>
      <c r="M9" s="7">
        <f t="shared" si="0"/>
        <v>4.7549999999999999</v>
      </c>
      <c r="N9" t="str" cm="1">
        <f t="array" ref="N9">_xlfn.IFS(I9="Rob","Robusta",I9="Exc","Excelsa",I9="Ara","Arabica",I9="Lib","Liberica")</f>
        <v>Liberica</v>
      </c>
      <c r="O9" t="str" cm="1">
        <f t="array" ref="O9">_xlfn.IFS(J9="M","Medium",J9="L","Light",J9="D","Dark")</f>
        <v>Light</v>
      </c>
      <c r="P9" t="str">
        <f>_xlfn.XLOOKUP(Orders[[#This Row],[Customer ID]],customers!$A$1:$A$1001,customers!$I$1:$I$1001,,0)</f>
        <v>Yes</v>
      </c>
    </row>
    <row r="10" spans="1:16" x14ac:dyDescent="0.35">
      <c r="A10" s="2" t="s">
        <v>535</v>
      </c>
      <c r="B10" s="5">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6">
        <f>INDEX(products!$A$1:$G$49,MATCH(orders!$D10,products!$A$1:$A$49,0),MATCH(K$1,products!$A$1:$G$1,0))</f>
        <v>0.5</v>
      </c>
      <c r="L10" s="7">
        <f>INDEX(products!$A$1:$G$49,MATCH(orders!$D10,products!$A$1:$A$49,0),MATCH(L$1,products!$A$1:$G$1,0))</f>
        <v>5.97</v>
      </c>
      <c r="M10" s="7">
        <f t="shared" si="0"/>
        <v>17.91</v>
      </c>
      <c r="N10" t="str" cm="1">
        <f t="array" ref="N10">_xlfn.IFS(I10="Rob","Robusta",I10="Exc","Excelsa",I10="Ara","Arabica",I10="Lib","Liberica")</f>
        <v>Robusta</v>
      </c>
      <c r="O10" t="str" cm="1">
        <f t="array" ref="O10">_xlfn.IFS(J10="M","Medium",J10="L","Light",J10="D","Dark")</f>
        <v>Medium</v>
      </c>
      <c r="P10" t="str">
        <f>_xlfn.XLOOKUP(Orders[[#This Row],[Customer ID]],customers!$A$1:$A$1001,customers!$I$1:$I$1001,,0)</f>
        <v>No</v>
      </c>
    </row>
    <row r="11" spans="1:16" x14ac:dyDescent="0.35">
      <c r="A11" s="2" t="s">
        <v>541</v>
      </c>
      <c r="B11" s="5">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6">
        <f>INDEX(products!$A$1:$G$49,MATCH(orders!$D11,products!$A$1:$A$49,0),MATCH(K$1,products!$A$1:$G$1,0))</f>
        <v>0.5</v>
      </c>
      <c r="L11" s="7">
        <f>INDEX(products!$A$1:$G$49,MATCH(orders!$D11,products!$A$1:$A$49,0),MATCH(L$1,products!$A$1:$G$1,0))</f>
        <v>5.97</v>
      </c>
      <c r="M11" s="7">
        <f t="shared" si="0"/>
        <v>5.97</v>
      </c>
      <c r="N11" t="str" cm="1">
        <f t="array" ref="N11">_xlfn.IFS(I11="Rob","Robusta",I11="Exc","Excelsa",I11="Ara","Arabica",I11="Lib","Liberica")</f>
        <v>Robusta</v>
      </c>
      <c r="O11" t="str" cm="1">
        <f t="array" ref="O11">_xlfn.IFS(J11="M","Medium",J11="L","Light",J11="D","Dark")</f>
        <v>Medium</v>
      </c>
      <c r="P11" t="str">
        <f>_xlfn.XLOOKUP(Orders[[#This Row],[Customer ID]],customers!$A$1:$A$1001,customers!$I$1:$I$1001,,0)</f>
        <v>No</v>
      </c>
    </row>
    <row r="12" spans="1:16" x14ac:dyDescent="0.35">
      <c r="A12" s="2" t="s">
        <v>547</v>
      </c>
      <c r="B12" s="5">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6">
        <f>INDEX(products!$A$1:$G$49,MATCH(orders!$D12,products!$A$1:$A$49,0),MATCH(K$1,products!$A$1:$G$1,0))</f>
        <v>1</v>
      </c>
      <c r="L12" s="7">
        <f>INDEX(products!$A$1:$G$49,MATCH(orders!$D12,products!$A$1:$A$49,0),MATCH(L$1,products!$A$1:$G$1,0))</f>
        <v>9.9499999999999993</v>
      </c>
      <c r="M12" s="7">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ID]],customers!$A$1:$A$1001,customers!$I$1:$I$1001,,0)</f>
        <v>No</v>
      </c>
    </row>
    <row r="13" spans="1:16" x14ac:dyDescent="0.35">
      <c r="A13" s="2" t="s">
        <v>553</v>
      </c>
      <c r="B13" s="5">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6">
        <f>INDEX(products!$A$1:$G$49,MATCH(orders!$D13,products!$A$1:$A$49,0),MATCH(K$1,products!$A$1:$G$1,0))</f>
        <v>2.5</v>
      </c>
      <c r="L13" s="7">
        <f>INDEX(products!$A$1:$G$49,MATCH(orders!$D13,products!$A$1:$A$49,0),MATCH(L$1,products!$A$1:$G$1,0))</f>
        <v>34.154999999999994</v>
      </c>
      <c r="M13" s="7">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ID]],customers!$A$1:$A$1001,customers!$I$1:$I$1001,,0)</f>
        <v>Yes</v>
      </c>
    </row>
    <row r="14" spans="1:16" x14ac:dyDescent="0.35">
      <c r="A14" s="2" t="s">
        <v>559</v>
      </c>
      <c r="B14" s="5">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6">
        <f>INDEX(products!$A$1:$G$49,MATCH(orders!$D14,products!$A$1:$A$49,0),MATCH(K$1,products!$A$1:$G$1,0))</f>
        <v>1</v>
      </c>
      <c r="L14" s="7">
        <f>INDEX(products!$A$1:$G$49,MATCH(orders!$D14,products!$A$1:$A$49,0),MATCH(L$1,products!$A$1:$G$1,0))</f>
        <v>9.9499999999999993</v>
      </c>
      <c r="M14" s="7">
        <f t="shared" si="0"/>
        <v>49.75</v>
      </c>
      <c r="N14" t="str" cm="1">
        <f t="array" ref="N14">_xlfn.IFS(I14="Rob","Robusta",I14="Exc","Excelsa",I14="Ara","Arabica",I14="Lib","Liberica")</f>
        <v>Robusta</v>
      </c>
      <c r="O14" t="str" cm="1">
        <f t="array" ref="O14">_xlfn.IFS(J14="M","Medium",J14="L","Light",J14="D","Dark")</f>
        <v>Medium</v>
      </c>
      <c r="P14" t="str">
        <f>_xlfn.XLOOKUP(Orders[[#This Row],[Customer ID]],customers!$A$1:$A$1001,customers!$I$1:$I$1001,,0)</f>
        <v>No</v>
      </c>
    </row>
    <row r="15" spans="1:16" x14ac:dyDescent="0.35">
      <c r="A15" s="2" t="s">
        <v>565</v>
      </c>
      <c r="B15" s="5">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6">
        <f>INDEX(products!$A$1:$G$49,MATCH(orders!$D15,products!$A$1:$A$49,0),MATCH(K$1,products!$A$1:$G$1,0))</f>
        <v>2.5</v>
      </c>
      <c r="L15" s="7">
        <f>INDEX(products!$A$1:$G$49,MATCH(orders!$D15,products!$A$1:$A$49,0),MATCH(L$1,products!$A$1:$G$1,0))</f>
        <v>20.584999999999997</v>
      </c>
      <c r="M15" s="7">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ID]],customers!$A$1:$A$1001,customers!$I$1:$I$1001,,0)</f>
        <v>No</v>
      </c>
    </row>
    <row r="16" spans="1:16" x14ac:dyDescent="0.35">
      <c r="A16" s="2" t="s">
        <v>570</v>
      </c>
      <c r="B16" s="5">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6">
        <f>INDEX(products!$A$1:$G$49,MATCH(orders!$D16,products!$A$1:$A$49,0),MATCH(K$1,products!$A$1:$G$1,0))</f>
        <v>0.2</v>
      </c>
      <c r="L16" s="7">
        <f>INDEX(products!$A$1:$G$49,MATCH(orders!$D16,products!$A$1:$A$49,0),MATCH(L$1,products!$A$1:$G$1,0))</f>
        <v>3.8849999999999998</v>
      </c>
      <c r="M16" s="7">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ID]],customers!$A$1:$A$1001,customers!$I$1:$I$1001,,0)</f>
        <v>Yes</v>
      </c>
    </row>
    <row r="17" spans="1:16" x14ac:dyDescent="0.35">
      <c r="A17" s="2" t="s">
        <v>576</v>
      </c>
      <c r="B17" s="5">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6">
        <f>INDEX(products!$A$1:$G$49,MATCH(orders!$D17,products!$A$1:$A$49,0),MATCH(K$1,products!$A$1:$G$1,0))</f>
        <v>2.5</v>
      </c>
      <c r="L17" s="7">
        <f>INDEX(products!$A$1:$G$49,MATCH(orders!$D17,products!$A$1:$A$49,0),MATCH(L$1,products!$A$1:$G$1,0))</f>
        <v>22.884999999999998</v>
      </c>
      <c r="M17" s="7">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ID]],customers!$A$1:$A$1001,customers!$I$1:$I$1001,,0)</f>
        <v>No</v>
      </c>
    </row>
    <row r="18" spans="1:16" x14ac:dyDescent="0.35">
      <c r="A18" s="2" t="s">
        <v>581</v>
      </c>
      <c r="B18" s="5">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6">
        <f>INDEX(products!$A$1:$G$49,MATCH(orders!$D18,products!$A$1:$A$49,0),MATCH(K$1,products!$A$1:$G$1,0))</f>
        <v>0.2</v>
      </c>
      <c r="L18" s="7">
        <f>INDEX(products!$A$1:$G$49,MATCH(orders!$D18,products!$A$1:$A$49,0),MATCH(L$1,products!$A$1:$G$1,0))</f>
        <v>3.375</v>
      </c>
      <c r="M18" s="7">
        <f t="shared" si="0"/>
        <v>20.25</v>
      </c>
      <c r="N18" t="str" cm="1">
        <f t="array" ref="N18">_xlfn.IFS(I18="Rob","Robusta",I18="Exc","Excelsa",I18="Ara","Arabica",I18="Lib","Liberica")</f>
        <v>Arabica</v>
      </c>
      <c r="O18" t="str" cm="1">
        <f t="array" ref="O18">_xlfn.IFS(J18="M","Medium",J18="L","Light",J18="D","Dark")</f>
        <v>Medium</v>
      </c>
      <c r="P18" t="str">
        <f>_xlfn.XLOOKUP(Orders[[#This Row],[Customer ID]],customers!$A$1:$A$1001,customers!$I$1:$I$1001,,0)</f>
        <v>No</v>
      </c>
    </row>
    <row r="19" spans="1:16" x14ac:dyDescent="0.35">
      <c r="A19" s="2" t="s">
        <v>587</v>
      </c>
      <c r="B19" s="5">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6">
        <f>INDEX(products!$A$1:$G$49,MATCH(orders!$D19,products!$A$1:$A$49,0),MATCH(K$1,products!$A$1:$G$1,0))</f>
        <v>1</v>
      </c>
      <c r="L19" s="7">
        <f>INDEX(products!$A$1:$G$49,MATCH(orders!$D19,products!$A$1:$A$49,0),MATCH(L$1,products!$A$1:$G$1,0))</f>
        <v>12.95</v>
      </c>
      <c r="M19" s="7">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ID]],customers!$A$1:$A$1001,customers!$I$1:$I$1001,,0)</f>
        <v>No</v>
      </c>
    </row>
    <row r="20" spans="1:16" x14ac:dyDescent="0.35">
      <c r="A20" s="2" t="s">
        <v>593</v>
      </c>
      <c r="B20" s="5">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6">
        <f>INDEX(products!$A$1:$G$49,MATCH(orders!$D20,products!$A$1:$A$49,0),MATCH(K$1,products!$A$1:$G$1,0))</f>
        <v>2.5</v>
      </c>
      <c r="L20" s="7">
        <f>INDEX(products!$A$1:$G$49,MATCH(orders!$D20,products!$A$1:$A$49,0),MATCH(L$1,products!$A$1:$G$1,0))</f>
        <v>20.584999999999997</v>
      </c>
      <c r="M20" s="7">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ID]],customers!$A$1:$A$1001,customers!$I$1:$I$1001,,0)</f>
        <v>Yes</v>
      </c>
    </row>
    <row r="21" spans="1:16" x14ac:dyDescent="0.35">
      <c r="A21" s="2" t="s">
        <v>598</v>
      </c>
      <c r="B21" s="5">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6">
        <f>INDEX(products!$A$1:$G$49,MATCH(orders!$D21,products!$A$1:$A$49,0),MATCH(K$1,products!$A$1:$G$1,0))</f>
        <v>0.2</v>
      </c>
      <c r="L21" s="7">
        <f>INDEX(products!$A$1:$G$49,MATCH(orders!$D21,products!$A$1:$A$49,0),MATCH(L$1,products!$A$1:$G$1,0))</f>
        <v>3.375</v>
      </c>
      <c r="M21" s="7">
        <f t="shared" si="0"/>
        <v>16.875</v>
      </c>
      <c r="N21" t="str" cm="1">
        <f t="array" ref="N21">_xlfn.IFS(I21="Rob","Robusta",I21="Exc","Excelsa",I21="Ara","Arabica",I21="Lib","Liberica")</f>
        <v>Arabica</v>
      </c>
      <c r="O21" t="str" cm="1">
        <f t="array" ref="O21">_xlfn.IFS(J21="M","Medium",J21="L","Light",J21="D","Dark")</f>
        <v>Medium</v>
      </c>
      <c r="P21" t="str">
        <f>_xlfn.XLOOKUP(Orders[[#This Row],[Customer ID]],customers!$A$1:$A$1001,customers!$I$1:$I$1001,,0)</f>
        <v>Yes</v>
      </c>
    </row>
    <row r="22" spans="1:16" x14ac:dyDescent="0.35">
      <c r="A22" s="2" t="s">
        <v>598</v>
      </c>
      <c r="B22" s="5">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6">
        <f>INDEX(products!$A$1:$G$49,MATCH(orders!$D22,products!$A$1:$A$49,0),MATCH(K$1,products!$A$1:$G$1,0))</f>
        <v>0.2</v>
      </c>
      <c r="L22" s="7">
        <f>INDEX(products!$A$1:$G$49,MATCH(orders!$D22,products!$A$1:$A$49,0),MATCH(L$1,products!$A$1:$G$1,0))</f>
        <v>3.645</v>
      </c>
      <c r="M22" s="7">
        <f t="shared" si="0"/>
        <v>14.58</v>
      </c>
      <c r="N22" t="str" cm="1">
        <f t="array" ref="N22">_xlfn.IFS(I22="Rob","Robusta",I22="Exc","Excelsa",I22="Ara","Arabica",I22="Lib","Liberica")</f>
        <v>Excelsa</v>
      </c>
      <c r="O22" t="str" cm="1">
        <f t="array" ref="O22">_xlfn.IFS(J22="M","Medium",J22="L","Light",J22="D","Dark")</f>
        <v>Dark</v>
      </c>
      <c r="P22" t="str">
        <f>_xlfn.XLOOKUP(Orders[[#This Row],[Customer ID]],customers!$A$1:$A$1001,customers!$I$1:$I$1001,,0)</f>
        <v>Yes</v>
      </c>
    </row>
    <row r="23" spans="1:16" x14ac:dyDescent="0.35">
      <c r="A23" s="2" t="s">
        <v>608</v>
      </c>
      <c r="B23" s="5">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6">
        <f>INDEX(products!$A$1:$G$49,MATCH(orders!$D23,products!$A$1:$A$49,0),MATCH(K$1,products!$A$1:$G$1,0))</f>
        <v>0.2</v>
      </c>
      <c r="L23" s="7">
        <f>INDEX(products!$A$1:$G$49,MATCH(orders!$D23,products!$A$1:$A$49,0),MATCH(L$1,products!$A$1:$G$1,0))</f>
        <v>2.9849999999999999</v>
      </c>
      <c r="M23" s="7">
        <f t="shared" si="0"/>
        <v>17.91</v>
      </c>
      <c r="N23" t="str" cm="1">
        <f t="array" ref="N23">_xlfn.IFS(I23="Rob","Robusta",I23="Exc","Excelsa",I23="Ara","Arabica",I23="Lib","Liberica")</f>
        <v>Arabica</v>
      </c>
      <c r="O23" t="str" cm="1">
        <f t="array" ref="O23">_xlfn.IFS(J23="M","Medium",J23="L","Light",J23="D","Dark")</f>
        <v>Dark</v>
      </c>
      <c r="P23" t="str">
        <f>_xlfn.XLOOKUP(Orders[[#This Row],[Customer ID]],customers!$A$1:$A$1001,customers!$I$1:$I$1001,,0)</f>
        <v>No</v>
      </c>
    </row>
    <row r="24" spans="1:16" x14ac:dyDescent="0.35">
      <c r="A24" s="2" t="s">
        <v>614</v>
      </c>
      <c r="B24" s="5">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6">
        <f>INDEX(products!$A$1:$G$49,MATCH(orders!$D24,products!$A$1:$A$49,0),MATCH(K$1,products!$A$1:$G$1,0))</f>
        <v>2.5</v>
      </c>
      <c r="L24" s="7">
        <f>INDEX(products!$A$1:$G$49,MATCH(orders!$D24,products!$A$1:$A$49,0),MATCH(L$1,products!$A$1:$G$1,0))</f>
        <v>22.884999999999998</v>
      </c>
      <c r="M24" s="7">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ID]],customers!$A$1:$A$1001,customers!$I$1:$I$1001,,0)</f>
        <v>Yes</v>
      </c>
    </row>
    <row r="25" spans="1:16" x14ac:dyDescent="0.35">
      <c r="A25" s="2" t="s">
        <v>620</v>
      </c>
      <c r="B25" s="5">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6">
        <f>INDEX(products!$A$1:$G$49,MATCH(orders!$D25,products!$A$1:$A$49,0),MATCH(K$1,products!$A$1:$G$1,0))</f>
        <v>0.2</v>
      </c>
      <c r="L25" s="7">
        <f>INDEX(products!$A$1:$G$49,MATCH(orders!$D25,products!$A$1:$A$49,0),MATCH(L$1,products!$A$1:$G$1,0))</f>
        <v>2.9849999999999999</v>
      </c>
      <c r="M25" s="7">
        <f t="shared" si="0"/>
        <v>11.94</v>
      </c>
      <c r="N25" t="str" cm="1">
        <f t="array" ref="N25">_xlfn.IFS(I25="Rob","Robusta",I25="Exc","Excelsa",I25="Ara","Arabica",I25="Lib","Liberica")</f>
        <v>Arabica</v>
      </c>
      <c r="O25" t="str" cm="1">
        <f t="array" ref="O25">_xlfn.IFS(J25="M","Medium",J25="L","Light",J25="D","Dark")</f>
        <v>Dark</v>
      </c>
      <c r="P25" t="str">
        <f>_xlfn.XLOOKUP(Orders[[#This Row],[Customer ID]],customers!$A$1:$A$1001,customers!$I$1:$I$1001,,0)</f>
        <v>Yes</v>
      </c>
    </row>
    <row r="26" spans="1:16" x14ac:dyDescent="0.35">
      <c r="A26" s="2" t="s">
        <v>626</v>
      </c>
      <c r="B26" s="5">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6">
        <f>INDEX(products!$A$1:$G$49,MATCH(orders!$D26,products!$A$1:$A$49,0),MATCH(K$1,products!$A$1:$G$1,0))</f>
        <v>1</v>
      </c>
      <c r="L26" s="7">
        <f>INDEX(products!$A$1:$G$49,MATCH(orders!$D26,products!$A$1:$A$49,0),MATCH(L$1,products!$A$1:$G$1,0))</f>
        <v>11.25</v>
      </c>
      <c r="M26" s="7">
        <f t="shared" si="0"/>
        <v>11.25</v>
      </c>
      <c r="N26" t="str" cm="1">
        <f t="array" ref="N26">_xlfn.IFS(I26="Rob","Robusta",I26="Exc","Excelsa",I26="Ara","Arabica",I26="Lib","Liberica")</f>
        <v>Arabica</v>
      </c>
      <c r="O26" t="str" cm="1">
        <f t="array" ref="O26">_xlfn.IFS(J26="M","Medium",J26="L","Light",J26="D","Dark")</f>
        <v>Medium</v>
      </c>
      <c r="P26" t="str">
        <f>_xlfn.XLOOKUP(Orders[[#This Row],[Customer ID]],customers!$A$1:$A$1001,customers!$I$1:$I$1001,,0)</f>
        <v>No</v>
      </c>
    </row>
    <row r="27" spans="1:16" x14ac:dyDescent="0.35">
      <c r="A27" s="2" t="s">
        <v>632</v>
      </c>
      <c r="B27" s="5">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6">
        <f>INDEX(products!$A$1:$G$49,MATCH(orders!$D27,products!$A$1:$A$49,0),MATCH(K$1,products!$A$1:$G$1,0))</f>
        <v>0.2</v>
      </c>
      <c r="L27" s="7">
        <f>INDEX(products!$A$1:$G$49,MATCH(orders!$D27,products!$A$1:$A$49,0),MATCH(L$1,products!$A$1:$G$1,0))</f>
        <v>4.125</v>
      </c>
      <c r="M27" s="7">
        <f t="shared" si="0"/>
        <v>12.375</v>
      </c>
      <c r="N27" t="str" cm="1">
        <f t="array" ref="N27">_xlfn.IFS(I27="Rob","Robusta",I27="Exc","Excelsa",I27="Ara","Arabica",I27="Lib","Liberica")</f>
        <v>Excelsa</v>
      </c>
      <c r="O27" t="str" cm="1">
        <f t="array" ref="O27">_xlfn.IFS(J27="M","Medium",J27="L","Light",J27="D","Dark")</f>
        <v>Medium</v>
      </c>
      <c r="P27" t="str">
        <f>_xlfn.XLOOKUP(Orders[[#This Row],[Customer ID]],customers!$A$1:$A$1001,customers!$I$1:$I$1001,,0)</f>
        <v>Yes</v>
      </c>
    </row>
    <row r="28" spans="1:16" x14ac:dyDescent="0.35">
      <c r="A28" s="2" t="s">
        <v>637</v>
      </c>
      <c r="B28" s="5">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6">
        <f>INDEX(products!$A$1:$G$49,MATCH(orders!$D28,products!$A$1:$A$49,0),MATCH(K$1,products!$A$1:$G$1,0))</f>
        <v>0.5</v>
      </c>
      <c r="L28" s="7">
        <f>INDEX(products!$A$1:$G$49,MATCH(orders!$D28,products!$A$1:$A$49,0),MATCH(L$1,products!$A$1:$G$1,0))</f>
        <v>6.75</v>
      </c>
      <c r="M28" s="7">
        <f t="shared" si="0"/>
        <v>27</v>
      </c>
      <c r="N28" t="str" cm="1">
        <f t="array" ref="N28">_xlfn.IFS(I28="Rob","Robusta",I28="Exc","Excelsa",I28="Ara","Arabica",I28="Lib","Liberica")</f>
        <v>Arabica</v>
      </c>
      <c r="O28" t="str" cm="1">
        <f t="array" ref="O28">_xlfn.IFS(J28="M","Medium",J28="L","Light",J28="D","Dark")</f>
        <v>Medium</v>
      </c>
      <c r="P28" t="str">
        <f>_xlfn.XLOOKUP(Orders[[#This Row],[Customer ID]],customers!$A$1:$A$1001,customers!$I$1:$I$1001,,0)</f>
        <v>Yes</v>
      </c>
    </row>
    <row r="29" spans="1:16" x14ac:dyDescent="0.35">
      <c r="A29" s="2" t="s">
        <v>643</v>
      </c>
      <c r="B29" s="5">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6">
        <f>INDEX(products!$A$1:$G$49,MATCH(orders!$D29,products!$A$1:$A$49,0),MATCH(K$1,products!$A$1:$G$1,0))</f>
        <v>0.2</v>
      </c>
      <c r="L29" s="7">
        <f>INDEX(products!$A$1:$G$49,MATCH(orders!$D29,products!$A$1:$A$49,0),MATCH(L$1,products!$A$1:$G$1,0))</f>
        <v>3.375</v>
      </c>
      <c r="M29" s="7">
        <f t="shared" si="0"/>
        <v>16.875</v>
      </c>
      <c r="N29" t="str" cm="1">
        <f t="array" ref="N29">_xlfn.IFS(I29="Rob","Robusta",I29="Exc","Excelsa",I29="Ara","Arabica",I29="Lib","Liberica")</f>
        <v>Arabica</v>
      </c>
      <c r="O29" t="str" cm="1">
        <f t="array" ref="O29">_xlfn.IFS(J29="M","Medium",J29="L","Light",J29="D","Dark")</f>
        <v>Medium</v>
      </c>
      <c r="P29" t="str">
        <f>_xlfn.XLOOKUP(Orders[[#This Row],[Customer ID]],customers!$A$1:$A$1001,customers!$I$1:$I$1001,,0)</f>
        <v>No</v>
      </c>
    </row>
    <row r="30" spans="1:16" x14ac:dyDescent="0.35">
      <c r="A30" s="2" t="s">
        <v>649</v>
      </c>
      <c r="B30" s="5">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6">
        <f>INDEX(products!$A$1:$G$49,MATCH(orders!$D30,products!$A$1:$A$49,0),MATCH(K$1,products!$A$1:$G$1,0))</f>
        <v>0.5</v>
      </c>
      <c r="L30" s="7">
        <f>INDEX(products!$A$1:$G$49,MATCH(orders!$D30,products!$A$1:$A$49,0),MATCH(L$1,products!$A$1:$G$1,0))</f>
        <v>5.97</v>
      </c>
      <c r="M30" s="7">
        <f t="shared" si="0"/>
        <v>17.91</v>
      </c>
      <c r="N30" t="str" cm="1">
        <f t="array" ref="N30">_xlfn.IFS(I30="Rob","Robusta",I30="Exc","Excelsa",I30="Ara","Arabica",I30="Lib","Liberica")</f>
        <v>Arabica</v>
      </c>
      <c r="O30" t="str" cm="1">
        <f t="array" ref="O30">_xlfn.IFS(J30="M","Medium",J30="L","Light",J30="D","Dark")</f>
        <v>Dark</v>
      </c>
      <c r="P30" t="str">
        <f>_xlfn.XLOOKUP(Orders[[#This Row],[Customer ID]],customers!$A$1:$A$1001,customers!$I$1:$I$1001,,0)</f>
        <v>No</v>
      </c>
    </row>
    <row r="31" spans="1:16" x14ac:dyDescent="0.35">
      <c r="A31" s="2" t="s">
        <v>655</v>
      </c>
      <c r="B31" s="5">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6">
        <f>INDEX(products!$A$1:$G$49,MATCH(orders!$D31,products!$A$1:$A$49,0),MATCH(K$1,products!$A$1:$G$1,0))</f>
        <v>1</v>
      </c>
      <c r="L31" s="7">
        <f>INDEX(products!$A$1:$G$49,MATCH(orders!$D31,products!$A$1:$A$49,0),MATCH(L$1,products!$A$1:$G$1,0))</f>
        <v>9.9499999999999993</v>
      </c>
      <c r="M31" s="7">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ID]],customers!$A$1:$A$1001,customers!$I$1:$I$1001,,0)</f>
        <v>Yes</v>
      </c>
    </row>
    <row r="32" spans="1:16" x14ac:dyDescent="0.35">
      <c r="A32" s="2" t="s">
        <v>661</v>
      </c>
      <c r="B32" s="5">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6">
        <f>INDEX(products!$A$1:$G$49,MATCH(orders!$D32,products!$A$1:$A$49,0),MATCH(K$1,products!$A$1:$G$1,0))</f>
        <v>0.2</v>
      </c>
      <c r="L32" s="7">
        <f>INDEX(products!$A$1:$G$49,MATCH(orders!$D32,products!$A$1:$A$49,0),MATCH(L$1,products!$A$1:$G$1,0))</f>
        <v>4.3650000000000002</v>
      </c>
      <c r="M32" s="7">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ID]],customers!$A$1:$A$1001,customers!$I$1:$I$1001,,0)</f>
        <v>No</v>
      </c>
    </row>
    <row r="33" spans="1:16" x14ac:dyDescent="0.35">
      <c r="A33" s="2" t="s">
        <v>661</v>
      </c>
      <c r="B33" s="5">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6">
        <f>INDEX(products!$A$1:$G$49,MATCH(orders!$D33,products!$A$1:$A$49,0),MATCH(K$1,products!$A$1:$G$1,0))</f>
        <v>0.5</v>
      </c>
      <c r="L33" s="7">
        <f>INDEX(products!$A$1:$G$49,MATCH(orders!$D33,products!$A$1:$A$49,0),MATCH(L$1,products!$A$1:$G$1,0))</f>
        <v>5.97</v>
      </c>
      <c r="M33" s="7">
        <f t="shared" si="0"/>
        <v>35.82</v>
      </c>
      <c r="N33" t="str" cm="1">
        <f t="array" ref="N33">_xlfn.IFS(I33="Rob","Robusta",I33="Exc","Excelsa",I33="Ara","Arabica",I33="Lib","Liberica")</f>
        <v>Arabica</v>
      </c>
      <c r="O33" t="str" cm="1">
        <f t="array" ref="O33">_xlfn.IFS(J33="M","Medium",J33="L","Light",J33="D","Dark")</f>
        <v>Dark</v>
      </c>
      <c r="P33" t="str">
        <f>_xlfn.XLOOKUP(Orders[[#This Row],[Customer ID]],customers!$A$1:$A$1001,customers!$I$1:$I$1001,,0)</f>
        <v>No</v>
      </c>
    </row>
    <row r="34" spans="1:16" x14ac:dyDescent="0.35">
      <c r="A34" s="2" t="s">
        <v>661</v>
      </c>
      <c r="B34" s="5">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6">
        <f>INDEX(products!$A$1:$G$49,MATCH(orders!$D34,products!$A$1:$A$49,0),MATCH(K$1,products!$A$1:$G$1,0))</f>
        <v>0.5</v>
      </c>
      <c r="L34" s="7">
        <f>INDEX(products!$A$1:$G$49,MATCH(orders!$D34,products!$A$1:$A$49,0),MATCH(L$1,products!$A$1:$G$1,0))</f>
        <v>8.73</v>
      </c>
      <c r="M34" s="7">
        <f t="shared" si="0"/>
        <v>52.38</v>
      </c>
      <c r="N34" t="str" cm="1">
        <f t="array" ref="N34">_xlfn.IFS(I34="Rob","Robusta",I34="Exc","Excelsa",I34="Ara","Arabica",I34="Lib","Liberica")</f>
        <v>Liberica</v>
      </c>
      <c r="O34" t="str" cm="1">
        <f t="array" ref="O34">_xlfn.IFS(J34="M","Medium",J34="L","Light",J34="D","Dark")</f>
        <v>Medium</v>
      </c>
      <c r="P34" t="str">
        <f>_xlfn.XLOOKUP(Orders[[#This Row],[Customer ID]],customers!$A$1:$A$1001,customers!$I$1:$I$1001,,0)</f>
        <v>No</v>
      </c>
    </row>
    <row r="35" spans="1:16" x14ac:dyDescent="0.35">
      <c r="A35" s="2" t="s">
        <v>676</v>
      </c>
      <c r="B35" s="5">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6">
        <f>INDEX(products!$A$1:$G$49,MATCH(orders!$D35,products!$A$1:$A$49,0),MATCH(K$1,products!$A$1:$G$1,0))</f>
        <v>0.2</v>
      </c>
      <c r="L35" s="7">
        <f>INDEX(products!$A$1:$G$49,MATCH(orders!$D35,products!$A$1:$A$49,0),MATCH(L$1,products!$A$1:$G$1,0))</f>
        <v>4.7549999999999999</v>
      </c>
      <c r="M35" s="7">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ID]],customers!$A$1:$A$1001,customers!$I$1:$I$1001,,0)</f>
        <v>No</v>
      </c>
    </row>
    <row r="36" spans="1:16" x14ac:dyDescent="0.35">
      <c r="A36" s="2" t="s">
        <v>681</v>
      </c>
      <c r="B36" s="5">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6">
        <f>INDEX(products!$A$1:$G$49,MATCH(orders!$D36,products!$A$1:$A$49,0),MATCH(K$1,products!$A$1:$G$1,0))</f>
        <v>0.5</v>
      </c>
      <c r="L36" s="7">
        <f>INDEX(products!$A$1:$G$49,MATCH(orders!$D36,products!$A$1:$A$49,0),MATCH(L$1,products!$A$1:$G$1,0))</f>
        <v>9.51</v>
      </c>
      <c r="M36" s="7">
        <f t="shared" si="0"/>
        <v>57.06</v>
      </c>
      <c r="N36" t="str" cm="1">
        <f t="array" ref="N36">_xlfn.IFS(I36="Rob","Robusta",I36="Exc","Excelsa",I36="Ara","Arabica",I36="Lib","Liberica")</f>
        <v>Liberica</v>
      </c>
      <c r="O36" t="str" cm="1">
        <f t="array" ref="O36">_xlfn.IFS(J36="M","Medium",J36="L","Light",J36="D","Dark")</f>
        <v>Light</v>
      </c>
      <c r="P36" t="str">
        <f>_xlfn.XLOOKUP(Orders[[#This Row],[Customer ID]],customers!$A$1:$A$1001,customers!$I$1:$I$1001,,0)</f>
        <v>Yes</v>
      </c>
    </row>
    <row r="37" spans="1:16" x14ac:dyDescent="0.35">
      <c r="A37" s="2" t="s">
        <v>687</v>
      </c>
      <c r="B37" s="5">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6">
        <f>INDEX(products!$A$1:$G$49,MATCH(orders!$D37,products!$A$1:$A$49,0),MATCH(K$1,products!$A$1:$G$1,0))</f>
        <v>0.5</v>
      </c>
      <c r="L37" s="7">
        <f>INDEX(products!$A$1:$G$49,MATCH(orders!$D37,products!$A$1:$A$49,0),MATCH(L$1,products!$A$1:$G$1,0))</f>
        <v>5.97</v>
      </c>
      <c r="M37" s="7">
        <f t="shared" si="0"/>
        <v>35.82</v>
      </c>
      <c r="N37" t="str" cm="1">
        <f t="array" ref="N37">_xlfn.IFS(I37="Rob","Robusta",I37="Exc","Excelsa",I37="Ara","Arabica",I37="Lib","Liberica")</f>
        <v>Arabica</v>
      </c>
      <c r="O37" t="str" cm="1">
        <f t="array" ref="O37">_xlfn.IFS(J37="M","Medium",J37="L","Light",J37="D","Dark")</f>
        <v>Dark</v>
      </c>
      <c r="P37" t="str">
        <f>_xlfn.XLOOKUP(Orders[[#This Row],[Customer ID]],customers!$A$1:$A$1001,customers!$I$1:$I$1001,,0)</f>
        <v>No</v>
      </c>
    </row>
    <row r="38" spans="1:16" x14ac:dyDescent="0.35">
      <c r="A38" s="2" t="s">
        <v>693</v>
      </c>
      <c r="B38" s="5">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6">
        <f>INDEX(products!$A$1:$G$49,MATCH(orders!$D38,products!$A$1:$A$49,0),MATCH(K$1,products!$A$1:$G$1,0))</f>
        <v>0.2</v>
      </c>
      <c r="L38" s="7">
        <f>INDEX(products!$A$1:$G$49,MATCH(orders!$D38,products!$A$1:$A$49,0),MATCH(L$1,products!$A$1:$G$1,0))</f>
        <v>4.3650000000000002</v>
      </c>
      <c r="M38" s="7">
        <f t="shared" si="0"/>
        <v>8.73</v>
      </c>
      <c r="N38" t="str" cm="1">
        <f t="array" ref="N38">_xlfn.IFS(I38="Rob","Robusta",I38="Exc","Excelsa",I38="Ara","Arabica",I38="Lib","Liberica")</f>
        <v>Liberica</v>
      </c>
      <c r="O38" t="str" cm="1">
        <f t="array" ref="O38">_xlfn.IFS(J38="M","Medium",J38="L","Light",J38="D","Dark")</f>
        <v>Medium</v>
      </c>
      <c r="P38" t="str">
        <f>_xlfn.XLOOKUP(Orders[[#This Row],[Customer ID]],customers!$A$1:$A$1001,customers!$I$1:$I$1001,,0)</f>
        <v>No</v>
      </c>
    </row>
    <row r="39" spans="1:16" x14ac:dyDescent="0.35">
      <c r="A39" s="2" t="s">
        <v>699</v>
      </c>
      <c r="B39" s="5">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6">
        <f>INDEX(products!$A$1:$G$49,MATCH(orders!$D39,products!$A$1:$A$49,0),MATCH(K$1,products!$A$1:$G$1,0))</f>
        <v>0.5</v>
      </c>
      <c r="L39" s="7">
        <f>INDEX(products!$A$1:$G$49,MATCH(orders!$D39,products!$A$1:$A$49,0),MATCH(L$1,products!$A$1:$G$1,0))</f>
        <v>9.51</v>
      </c>
      <c r="M39" s="7">
        <f t="shared" si="0"/>
        <v>28.53</v>
      </c>
      <c r="N39" t="str" cm="1">
        <f t="array" ref="N39">_xlfn.IFS(I39="Rob","Robusta",I39="Exc","Excelsa",I39="Ara","Arabica",I39="Lib","Liberica")</f>
        <v>Liberica</v>
      </c>
      <c r="O39" t="str" cm="1">
        <f t="array" ref="O39">_xlfn.IFS(J39="M","Medium",J39="L","Light",J39="D","Dark")</f>
        <v>Light</v>
      </c>
      <c r="P39" t="str">
        <f>_xlfn.XLOOKUP(Orders[[#This Row],[Customer ID]],customers!$A$1:$A$1001,customers!$I$1:$I$1001,,0)</f>
        <v>No</v>
      </c>
    </row>
    <row r="40" spans="1:16" x14ac:dyDescent="0.35">
      <c r="A40" s="2" t="s">
        <v>705</v>
      </c>
      <c r="B40" s="5">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6">
        <f>INDEX(products!$A$1:$G$49,MATCH(orders!$D40,products!$A$1:$A$49,0),MATCH(K$1,products!$A$1:$G$1,0))</f>
        <v>2.5</v>
      </c>
      <c r="L40" s="7">
        <f>INDEX(products!$A$1:$G$49,MATCH(orders!$D40,products!$A$1:$A$49,0),MATCH(L$1,products!$A$1:$G$1,0))</f>
        <v>22.884999999999998</v>
      </c>
      <c r="M40" s="7">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ID]],customers!$A$1:$A$1001,customers!$I$1:$I$1001,,0)</f>
        <v>No</v>
      </c>
    </row>
    <row r="41" spans="1:16" x14ac:dyDescent="0.35">
      <c r="A41" s="2" t="s">
        <v>711</v>
      </c>
      <c r="B41" s="5">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6">
        <f>INDEX(products!$A$1:$G$49,MATCH(orders!$D41,products!$A$1:$A$49,0),MATCH(K$1,products!$A$1:$G$1,0))</f>
        <v>1</v>
      </c>
      <c r="L41" s="7">
        <f>INDEX(products!$A$1:$G$49,MATCH(orders!$D41,products!$A$1:$A$49,0),MATCH(L$1,products!$A$1:$G$1,0))</f>
        <v>9.9499999999999993</v>
      </c>
      <c r="M41" s="7">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ID]],customers!$A$1:$A$1001,customers!$I$1:$I$1001,,0)</f>
        <v>Yes</v>
      </c>
    </row>
    <row r="42" spans="1:16" x14ac:dyDescent="0.35">
      <c r="A42" s="2" t="s">
        <v>715</v>
      </c>
      <c r="B42" s="5">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6">
        <f>INDEX(products!$A$1:$G$49,MATCH(orders!$D42,products!$A$1:$A$49,0),MATCH(K$1,products!$A$1:$G$1,0))</f>
        <v>1</v>
      </c>
      <c r="L42" s="7">
        <f>INDEX(products!$A$1:$G$49,MATCH(orders!$D42,products!$A$1:$A$49,0),MATCH(L$1,products!$A$1:$G$1,0))</f>
        <v>14.55</v>
      </c>
      <c r="M42" s="7">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ID]],customers!$A$1:$A$1001,customers!$I$1:$I$1001,,0)</f>
        <v>No</v>
      </c>
    </row>
    <row r="43" spans="1:16" x14ac:dyDescent="0.35">
      <c r="A43" s="2" t="s">
        <v>720</v>
      </c>
      <c r="B43" s="5">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6">
        <f>INDEX(products!$A$1:$G$49,MATCH(orders!$D43,products!$A$1:$A$49,0),MATCH(K$1,products!$A$1:$G$1,0))</f>
        <v>0.2</v>
      </c>
      <c r="L43" s="7">
        <f>INDEX(products!$A$1:$G$49,MATCH(orders!$D43,products!$A$1:$A$49,0),MATCH(L$1,products!$A$1:$G$1,0))</f>
        <v>3.645</v>
      </c>
      <c r="M43" s="7">
        <f t="shared" si="0"/>
        <v>7.29</v>
      </c>
      <c r="N43" t="str" cm="1">
        <f t="array" ref="N43">_xlfn.IFS(I43="Rob","Robusta",I43="Exc","Excelsa",I43="Ara","Arabica",I43="Lib","Liberica")</f>
        <v>Excelsa</v>
      </c>
      <c r="O43" t="str" cm="1">
        <f t="array" ref="O43">_xlfn.IFS(J43="M","Medium",J43="L","Light",J43="D","Dark")</f>
        <v>Dark</v>
      </c>
      <c r="P43" t="str">
        <f>_xlfn.XLOOKUP(Orders[[#This Row],[Customer ID]],customers!$A$1:$A$1001,customers!$I$1:$I$1001,,0)</f>
        <v>Yes</v>
      </c>
    </row>
    <row r="44" spans="1:16" x14ac:dyDescent="0.35">
      <c r="A44" s="2" t="s">
        <v>726</v>
      </c>
      <c r="B44" s="5">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6">
        <f>INDEX(products!$A$1:$G$49,MATCH(orders!$D44,products!$A$1:$A$49,0),MATCH(K$1,products!$A$1:$G$1,0))</f>
        <v>0.2</v>
      </c>
      <c r="L44" s="7">
        <f>INDEX(products!$A$1:$G$49,MATCH(orders!$D44,products!$A$1:$A$49,0),MATCH(L$1,products!$A$1:$G$1,0))</f>
        <v>2.6849999999999996</v>
      </c>
      <c r="M44" s="7">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ID]],customers!$A$1:$A$1001,customers!$I$1:$I$1001,,0)</f>
        <v>Yes</v>
      </c>
    </row>
    <row r="45" spans="1:16" x14ac:dyDescent="0.35">
      <c r="A45" s="2" t="s">
        <v>733</v>
      </c>
      <c r="B45" s="5">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6">
        <f>INDEX(products!$A$1:$G$49,MATCH(orders!$D45,products!$A$1:$A$49,0),MATCH(K$1,products!$A$1:$G$1,0))</f>
        <v>2.5</v>
      </c>
      <c r="L45" s="7">
        <f>INDEX(products!$A$1:$G$49,MATCH(orders!$D45,products!$A$1:$A$49,0),MATCH(L$1,products!$A$1:$G$1,0))</f>
        <v>36.454999999999998</v>
      </c>
      <c r="M45" s="7">
        <f t="shared" si="0"/>
        <v>72.91</v>
      </c>
      <c r="N45" t="str" cm="1">
        <f t="array" ref="N45">_xlfn.IFS(I45="Rob","Robusta",I45="Exc","Excelsa",I45="Ara","Arabica",I45="Lib","Liberica")</f>
        <v>Liberica</v>
      </c>
      <c r="O45" t="str" cm="1">
        <f t="array" ref="O45">_xlfn.IFS(J45="M","Medium",J45="L","Light",J45="D","Dark")</f>
        <v>Light</v>
      </c>
      <c r="P45" t="str">
        <f>_xlfn.XLOOKUP(Orders[[#This Row],[Customer ID]],customers!$A$1:$A$1001,customers!$I$1:$I$1001,,0)</f>
        <v>No</v>
      </c>
    </row>
    <row r="46" spans="1:16" x14ac:dyDescent="0.35">
      <c r="A46" s="2" t="s">
        <v>738</v>
      </c>
      <c r="B46" s="5">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6">
        <f>INDEX(products!$A$1:$G$49,MATCH(orders!$D46,products!$A$1:$A$49,0),MATCH(K$1,products!$A$1:$G$1,0))</f>
        <v>0.5</v>
      </c>
      <c r="L46" s="7">
        <f>INDEX(products!$A$1:$G$49,MATCH(orders!$D46,products!$A$1:$A$49,0),MATCH(L$1,products!$A$1:$G$1,0))</f>
        <v>8.25</v>
      </c>
      <c r="M46" s="7">
        <f t="shared" si="0"/>
        <v>16.5</v>
      </c>
      <c r="N46" t="str" cm="1">
        <f t="array" ref="N46">_xlfn.IFS(I46="Rob","Robusta",I46="Exc","Excelsa",I46="Ara","Arabica",I46="Lib","Liberica")</f>
        <v>Excelsa</v>
      </c>
      <c r="O46" t="str" cm="1">
        <f t="array" ref="O46">_xlfn.IFS(J46="M","Medium",J46="L","Light",J46="D","Dark")</f>
        <v>Medium</v>
      </c>
      <c r="P46" t="str">
        <f>_xlfn.XLOOKUP(Orders[[#This Row],[Customer ID]],customers!$A$1:$A$1001,customers!$I$1:$I$1001,,0)</f>
        <v>Yes</v>
      </c>
    </row>
    <row r="47" spans="1:16" x14ac:dyDescent="0.35">
      <c r="A47" s="2" t="s">
        <v>744</v>
      </c>
      <c r="B47" s="5">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6">
        <f>INDEX(products!$A$1:$G$49,MATCH(orders!$D47,products!$A$1:$A$49,0),MATCH(K$1,products!$A$1:$G$1,0))</f>
        <v>2.5</v>
      </c>
      <c r="L47" s="7">
        <f>INDEX(products!$A$1:$G$49,MATCH(orders!$D47,products!$A$1:$A$49,0),MATCH(L$1,products!$A$1:$G$1,0))</f>
        <v>29.784999999999997</v>
      </c>
      <c r="M47" s="7">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ID]],customers!$A$1:$A$1001,customers!$I$1:$I$1001,,0)</f>
        <v>No</v>
      </c>
    </row>
    <row r="48" spans="1:16" x14ac:dyDescent="0.35">
      <c r="A48" s="2" t="s">
        <v>750</v>
      </c>
      <c r="B48" s="5">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6">
        <f>INDEX(products!$A$1:$G$49,MATCH(orders!$D48,products!$A$1:$A$49,0),MATCH(K$1,products!$A$1:$G$1,0))</f>
        <v>2.5</v>
      </c>
      <c r="L48" s="7">
        <f>INDEX(products!$A$1:$G$49,MATCH(orders!$D48,products!$A$1:$A$49,0),MATCH(L$1,products!$A$1:$G$1,0))</f>
        <v>31.624999999999996</v>
      </c>
      <c r="M48" s="7">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ID]],customers!$A$1:$A$1001,customers!$I$1:$I$1001,,0)</f>
        <v>Yes</v>
      </c>
    </row>
    <row r="49" spans="1:16" x14ac:dyDescent="0.35">
      <c r="A49" s="2" t="s">
        <v>755</v>
      </c>
      <c r="B49" s="5">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6">
        <f>INDEX(products!$A$1:$G$49,MATCH(orders!$D49,products!$A$1:$A$49,0),MATCH(K$1,products!$A$1:$G$1,0))</f>
        <v>0.2</v>
      </c>
      <c r="L49" s="7">
        <f>INDEX(products!$A$1:$G$49,MATCH(orders!$D49,products!$A$1:$A$49,0),MATCH(L$1,products!$A$1:$G$1,0))</f>
        <v>3.8849999999999998</v>
      </c>
      <c r="M49" s="7">
        <f t="shared" si="0"/>
        <v>7.77</v>
      </c>
      <c r="N49" t="str" cm="1">
        <f t="array" ref="N49">_xlfn.IFS(I49="Rob","Robusta",I49="Exc","Excelsa",I49="Ara","Arabica",I49="Lib","Liberica")</f>
        <v>Arabica</v>
      </c>
      <c r="O49" t="str" cm="1">
        <f t="array" ref="O49">_xlfn.IFS(J49="M","Medium",J49="L","Light",J49="D","Dark")</f>
        <v>Light</v>
      </c>
      <c r="P49" t="str">
        <f>_xlfn.XLOOKUP(Orders[[#This Row],[Customer ID]],customers!$A$1:$A$1001,customers!$I$1:$I$1001,,0)</f>
        <v>Yes</v>
      </c>
    </row>
    <row r="50" spans="1:16" x14ac:dyDescent="0.35">
      <c r="A50" s="2" t="s">
        <v>761</v>
      </c>
      <c r="B50" s="5">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6">
        <f>INDEX(products!$A$1:$G$49,MATCH(orders!$D50,products!$A$1:$A$49,0),MATCH(K$1,products!$A$1:$G$1,0))</f>
        <v>2.5</v>
      </c>
      <c r="L50" s="7">
        <f>INDEX(products!$A$1:$G$49,MATCH(orders!$D50,products!$A$1:$A$49,0),MATCH(L$1,products!$A$1:$G$1,0))</f>
        <v>22.884999999999998</v>
      </c>
      <c r="M50" s="7">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ID]],customers!$A$1:$A$1001,customers!$I$1:$I$1001,,0)</f>
        <v>No</v>
      </c>
    </row>
    <row r="51" spans="1:16" x14ac:dyDescent="0.35">
      <c r="A51" s="2" t="s">
        <v>766</v>
      </c>
      <c r="B51" s="5">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6">
        <f>INDEX(products!$A$1:$G$49,MATCH(orders!$D51,products!$A$1:$A$49,0),MATCH(K$1,products!$A$1:$G$1,0))</f>
        <v>1</v>
      </c>
      <c r="L51" s="7">
        <f>INDEX(products!$A$1:$G$49,MATCH(orders!$D51,products!$A$1:$A$49,0),MATCH(L$1,products!$A$1:$G$1,0))</f>
        <v>12.95</v>
      </c>
      <c r="M51" s="7">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ID]],customers!$A$1:$A$1001,customers!$I$1:$I$1001,,0)</f>
        <v>No</v>
      </c>
    </row>
    <row r="52" spans="1:16" x14ac:dyDescent="0.35">
      <c r="A52" s="2" t="s">
        <v>772</v>
      </c>
      <c r="B52" s="5">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6">
        <f>INDEX(products!$A$1:$G$49,MATCH(orders!$D52,products!$A$1:$A$49,0),MATCH(K$1,products!$A$1:$G$1,0))</f>
        <v>0.5</v>
      </c>
      <c r="L52" s="7">
        <f>INDEX(products!$A$1:$G$49,MATCH(orders!$D52,products!$A$1:$A$49,0),MATCH(L$1,products!$A$1:$G$1,0))</f>
        <v>7.77</v>
      </c>
      <c r="M52" s="7">
        <f t="shared" si="0"/>
        <v>15.54</v>
      </c>
      <c r="N52" t="str" cm="1">
        <f t="array" ref="N52">_xlfn.IFS(I52="Rob","Robusta",I52="Exc","Excelsa",I52="Ara","Arabica",I52="Lib","Liberica")</f>
        <v>Liberica</v>
      </c>
      <c r="O52" t="str" cm="1">
        <f t="array" ref="O52">_xlfn.IFS(J52="M","Medium",J52="L","Light",J52="D","Dark")</f>
        <v>Dark</v>
      </c>
      <c r="P52" t="str">
        <f>_xlfn.XLOOKUP(Orders[[#This Row],[Customer ID]],customers!$A$1:$A$1001,customers!$I$1:$I$1001,,0)</f>
        <v>No</v>
      </c>
    </row>
    <row r="53" spans="1:16" x14ac:dyDescent="0.35">
      <c r="A53" s="2" t="s">
        <v>778</v>
      </c>
      <c r="B53" s="5">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6">
        <f>INDEX(products!$A$1:$G$49,MATCH(orders!$D53,products!$A$1:$A$49,0),MATCH(K$1,products!$A$1:$G$1,0))</f>
        <v>2.5</v>
      </c>
      <c r="L53" s="7">
        <f>INDEX(products!$A$1:$G$49,MATCH(orders!$D53,products!$A$1:$A$49,0),MATCH(L$1,products!$A$1:$G$1,0))</f>
        <v>36.454999999999998</v>
      </c>
      <c r="M53" s="7">
        <f t="shared" si="0"/>
        <v>145.82</v>
      </c>
      <c r="N53" t="str" cm="1">
        <f t="array" ref="N53">_xlfn.IFS(I53="Rob","Robusta",I53="Exc","Excelsa",I53="Ara","Arabica",I53="Lib","Liberica")</f>
        <v>Liberica</v>
      </c>
      <c r="O53" t="str" cm="1">
        <f t="array" ref="O53">_xlfn.IFS(J53="M","Medium",J53="L","Light",J53="D","Dark")</f>
        <v>Light</v>
      </c>
      <c r="P53" t="str">
        <f>_xlfn.XLOOKUP(Orders[[#This Row],[Customer ID]],customers!$A$1:$A$1001,customers!$I$1:$I$1001,,0)</f>
        <v>Yes</v>
      </c>
    </row>
    <row r="54" spans="1:16" x14ac:dyDescent="0.35">
      <c r="A54" s="2" t="s">
        <v>784</v>
      </c>
      <c r="B54" s="5">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6">
        <f>INDEX(products!$A$1:$G$49,MATCH(orders!$D54,products!$A$1:$A$49,0),MATCH(K$1,products!$A$1:$G$1,0))</f>
        <v>0.5</v>
      </c>
      <c r="L54" s="7">
        <f>INDEX(products!$A$1:$G$49,MATCH(orders!$D54,products!$A$1:$A$49,0),MATCH(L$1,products!$A$1:$G$1,0))</f>
        <v>5.97</v>
      </c>
      <c r="M54" s="7">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ID]],customers!$A$1:$A$1001,customers!$I$1:$I$1001,,0)</f>
        <v>No</v>
      </c>
    </row>
    <row r="55" spans="1:16" x14ac:dyDescent="0.35">
      <c r="A55" s="2" t="s">
        <v>784</v>
      </c>
      <c r="B55" s="5">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6">
        <f>INDEX(products!$A$1:$G$49,MATCH(orders!$D55,products!$A$1:$A$49,0),MATCH(K$1,products!$A$1:$G$1,0))</f>
        <v>2.5</v>
      </c>
      <c r="L55" s="7">
        <f>INDEX(products!$A$1:$G$49,MATCH(orders!$D55,products!$A$1:$A$49,0),MATCH(L$1,products!$A$1:$G$1,0))</f>
        <v>36.454999999999998</v>
      </c>
      <c r="M55" s="7">
        <f t="shared" si="0"/>
        <v>72.91</v>
      </c>
      <c r="N55" t="str" cm="1">
        <f t="array" ref="N55">_xlfn.IFS(I55="Rob","Robusta",I55="Exc","Excelsa",I55="Ara","Arabica",I55="Lib","Liberica")</f>
        <v>Liberica</v>
      </c>
      <c r="O55" t="str" cm="1">
        <f t="array" ref="O55">_xlfn.IFS(J55="M","Medium",J55="L","Light",J55="D","Dark")</f>
        <v>Light</v>
      </c>
      <c r="P55" t="str">
        <f>_xlfn.XLOOKUP(Orders[[#This Row],[Customer ID]],customers!$A$1:$A$1001,customers!$I$1:$I$1001,,0)</f>
        <v>No</v>
      </c>
    </row>
    <row r="56" spans="1:16" x14ac:dyDescent="0.35">
      <c r="A56" s="2" t="s">
        <v>794</v>
      </c>
      <c r="B56" s="5">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6">
        <f>INDEX(products!$A$1:$G$49,MATCH(orders!$D56,products!$A$1:$A$49,0),MATCH(K$1,products!$A$1:$G$1,0))</f>
        <v>1</v>
      </c>
      <c r="L56" s="7">
        <f>INDEX(products!$A$1:$G$49,MATCH(orders!$D56,products!$A$1:$A$49,0),MATCH(L$1,products!$A$1:$G$1,0))</f>
        <v>14.55</v>
      </c>
      <c r="M56" s="7">
        <f t="shared" si="0"/>
        <v>72.75</v>
      </c>
      <c r="N56" t="str" cm="1">
        <f t="array" ref="N56">_xlfn.IFS(I56="Rob","Robusta",I56="Exc","Excelsa",I56="Ara","Arabica",I56="Lib","Liberica")</f>
        <v>Liberica</v>
      </c>
      <c r="O56" t="str" cm="1">
        <f t="array" ref="O56">_xlfn.IFS(J56="M","Medium",J56="L","Light",J56="D","Dark")</f>
        <v>Medium</v>
      </c>
      <c r="P56" t="str">
        <f>_xlfn.XLOOKUP(Orders[[#This Row],[Customer ID]],customers!$A$1:$A$1001,customers!$I$1:$I$1001,,0)</f>
        <v>No</v>
      </c>
    </row>
    <row r="57" spans="1:16" x14ac:dyDescent="0.35">
      <c r="A57" s="2" t="s">
        <v>800</v>
      </c>
      <c r="B57" s="5">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6">
        <f>INDEX(products!$A$1:$G$49,MATCH(orders!$D57,products!$A$1:$A$49,0),MATCH(K$1,products!$A$1:$G$1,0))</f>
        <v>1</v>
      </c>
      <c r="L57" s="7">
        <f>INDEX(products!$A$1:$G$49,MATCH(orders!$D57,products!$A$1:$A$49,0),MATCH(L$1,products!$A$1:$G$1,0))</f>
        <v>15.85</v>
      </c>
      <c r="M57" s="7">
        <f t="shared" si="0"/>
        <v>47.55</v>
      </c>
      <c r="N57" t="str" cm="1">
        <f t="array" ref="N57">_xlfn.IFS(I57="Rob","Robusta",I57="Exc","Excelsa",I57="Ara","Arabica",I57="Lib","Liberica")</f>
        <v>Liberica</v>
      </c>
      <c r="O57" t="str" cm="1">
        <f t="array" ref="O57">_xlfn.IFS(J57="M","Medium",J57="L","Light",J57="D","Dark")</f>
        <v>Light</v>
      </c>
      <c r="P57" t="str">
        <f>_xlfn.XLOOKUP(Orders[[#This Row],[Customer ID]],customers!$A$1:$A$1001,customers!$I$1:$I$1001,,0)</f>
        <v>No</v>
      </c>
    </row>
    <row r="58" spans="1:16" x14ac:dyDescent="0.35">
      <c r="A58" s="2" t="s">
        <v>805</v>
      </c>
      <c r="B58" s="5">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6">
        <f>INDEX(products!$A$1:$G$49,MATCH(orders!$D58,products!$A$1:$A$49,0),MATCH(K$1,products!$A$1:$G$1,0))</f>
        <v>0.2</v>
      </c>
      <c r="L58" s="7">
        <f>INDEX(products!$A$1:$G$49,MATCH(orders!$D58,products!$A$1:$A$49,0),MATCH(L$1,products!$A$1:$G$1,0))</f>
        <v>3.645</v>
      </c>
      <c r="M58" s="7">
        <f t="shared" si="0"/>
        <v>10.935</v>
      </c>
      <c r="N58" t="str" cm="1">
        <f t="array" ref="N58">_xlfn.IFS(I58="Rob","Robusta",I58="Exc","Excelsa",I58="Ara","Arabica",I58="Lib","Liberica")</f>
        <v>Excelsa</v>
      </c>
      <c r="O58" t="str" cm="1">
        <f t="array" ref="O58">_xlfn.IFS(J58="M","Medium",J58="L","Light",J58="D","Dark")</f>
        <v>Dark</v>
      </c>
      <c r="P58" t="str">
        <f>_xlfn.XLOOKUP(Orders[[#This Row],[Customer ID]],customers!$A$1:$A$1001,customers!$I$1:$I$1001,,0)</f>
        <v>Yes</v>
      </c>
    </row>
    <row r="59" spans="1:16" x14ac:dyDescent="0.35">
      <c r="A59" s="2" t="s">
        <v>811</v>
      </c>
      <c r="B59" s="5">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6">
        <f>INDEX(products!$A$1:$G$49,MATCH(orders!$D59,products!$A$1:$A$49,0),MATCH(K$1,products!$A$1:$G$1,0))</f>
        <v>1</v>
      </c>
      <c r="L59" s="7">
        <f>INDEX(products!$A$1:$G$49,MATCH(orders!$D59,products!$A$1:$A$49,0),MATCH(L$1,products!$A$1:$G$1,0))</f>
        <v>14.85</v>
      </c>
      <c r="M59" s="7">
        <f t="shared" si="0"/>
        <v>59.4</v>
      </c>
      <c r="N59" t="str" cm="1">
        <f t="array" ref="N59">_xlfn.IFS(I59="Rob","Robusta",I59="Exc","Excelsa",I59="Ara","Arabica",I59="Lib","Liberica")</f>
        <v>Excelsa</v>
      </c>
      <c r="O59" t="str" cm="1">
        <f t="array" ref="O59">_xlfn.IFS(J59="M","Medium",J59="L","Light",J59="D","Dark")</f>
        <v>Light</v>
      </c>
      <c r="P59" t="str">
        <f>_xlfn.XLOOKUP(Orders[[#This Row],[Customer ID]],customers!$A$1:$A$1001,customers!$I$1:$I$1001,,0)</f>
        <v>No</v>
      </c>
    </row>
    <row r="60" spans="1:16" x14ac:dyDescent="0.35">
      <c r="A60" s="2" t="s">
        <v>817</v>
      </c>
      <c r="B60" s="5">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6">
        <f>INDEX(products!$A$1:$G$49,MATCH(orders!$D60,products!$A$1:$A$49,0),MATCH(K$1,products!$A$1:$G$1,0))</f>
        <v>2.5</v>
      </c>
      <c r="L60" s="7">
        <f>INDEX(products!$A$1:$G$49,MATCH(orders!$D60,products!$A$1:$A$49,0),MATCH(L$1,products!$A$1:$G$1,0))</f>
        <v>29.784999999999997</v>
      </c>
      <c r="M60" s="7">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ID]],customers!$A$1:$A$1001,customers!$I$1:$I$1001,,0)</f>
        <v>Yes</v>
      </c>
    </row>
    <row r="61" spans="1:16" x14ac:dyDescent="0.35">
      <c r="A61" s="2" t="s">
        <v>822</v>
      </c>
      <c r="B61" s="5">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6">
        <f>INDEX(products!$A$1:$G$49,MATCH(orders!$D61,products!$A$1:$A$49,0),MATCH(K$1,products!$A$1:$G$1,0))</f>
        <v>0.5</v>
      </c>
      <c r="L61" s="7">
        <f>INDEX(products!$A$1:$G$49,MATCH(orders!$D61,products!$A$1:$A$49,0),MATCH(L$1,products!$A$1:$G$1,0))</f>
        <v>8.73</v>
      </c>
      <c r="M61" s="7">
        <f t="shared" si="0"/>
        <v>26.19</v>
      </c>
      <c r="N61" t="str" cm="1">
        <f t="array" ref="N61">_xlfn.IFS(I61="Rob","Robusta",I61="Exc","Excelsa",I61="Ara","Arabica",I61="Lib","Liberica")</f>
        <v>Liberica</v>
      </c>
      <c r="O61" t="str" cm="1">
        <f t="array" ref="O61">_xlfn.IFS(J61="M","Medium",J61="L","Light",J61="D","Dark")</f>
        <v>Medium</v>
      </c>
      <c r="P61" t="str">
        <f>_xlfn.XLOOKUP(Orders[[#This Row],[Customer ID]],customers!$A$1:$A$1001,customers!$I$1:$I$1001,,0)</f>
        <v>Yes</v>
      </c>
    </row>
    <row r="62" spans="1:16" x14ac:dyDescent="0.35">
      <c r="A62" s="2" t="s">
        <v>827</v>
      </c>
      <c r="B62" s="5">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6">
        <f>INDEX(products!$A$1:$G$49,MATCH(orders!$D62,products!$A$1:$A$49,0),MATCH(K$1,products!$A$1:$G$1,0))</f>
        <v>2.5</v>
      </c>
      <c r="L62" s="7">
        <f>INDEX(products!$A$1:$G$49,MATCH(orders!$D62,products!$A$1:$A$49,0),MATCH(L$1,products!$A$1:$G$1,0))</f>
        <v>22.884999999999998</v>
      </c>
      <c r="M62" s="7">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ID]],customers!$A$1:$A$1001,customers!$I$1:$I$1001,,0)</f>
        <v>No</v>
      </c>
    </row>
    <row r="63" spans="1:16" x14ac:dyDescent="0.35">
      <c r="A63" s="2" t="s">
        <v>833</v>
      </c>
      <c r="B63" s="5">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6">
        <f>INDEX(products!$A$1:$G$49,MATCH(orders!$D63,products!$A$1:$A$49,0),MATCH(K$1,products!$A$1:$G$1,0))</f>
        <v>0.5</v>
      </c>
      <c r="L63" s="7">
        <f>INDEX(products!$A$1:$G$49,MATCH(orders!$D63,products!$A$1:$A$49,0),MATCH(L$1,products!$A$1:$G$1,0))</f>
        <v>5.3699999999999992</v>
      </c>
      <c r="M63" s="7">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ID]],customers!$A$1:$A$1001,customers!$I$1:$I$1001,,0)</f>
        <v>Yes</v>
      </c>
    </row>
    <row r="64" spans="1:16" x14ac:dyDescent="0.35">
      <c r="A64" s="2" t="s">
        <v>838</v>
      </c>
      <c r="B64" s="5">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6">
        <f>INDEX(products!$A$1:$G$49,MATCH(orders!$D64,products!$A$1:$A$49,0),MATCH(K$1,products!$A$1:$G$1,0))</f>
        <v>0.2</v>
      </c>
      <c r="L64" s="7">
        <f>INDEX(products!$A$1:$G$49,MATCH(orders!$D64,products!$A$1:$A$49,0),MATCH(L$1,products!$A$1:$G$1,0))</f>
        <v>4.7549999999999999</v>
      </c>
      <c r="M64" s="7">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ID]],customers!$A$1:$A$1001,customers!$I$1:$I$1001,,0)</f>
        <v>Yes</v>
      </c>
    </row>
    <row r="65" spans="1:16" x14ac:dyDescent="0.35">
      <c r="A65" s="2" t="s">
        <v>843</v>
      </c>
      <c r="B65" s="5">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6">
        <f>INDEX(products!$A$1:$G$49,MATCH(orders!$D65,products!$A$1:$A$49,0),MATCH(K$1,products!$A$1:$G$1,0))</f>
        <v>0.5</v>
      </c>
      <c r="L65" s="7">
        <f>INDEX(products!$A$1:$G$49,MATCH(orders!$D65,products!$A$1:$A$49,0),MATCH(L$1,products!$A$1:$G$1,0))</f>
        <v>6.75</v>
      </c>
      <c r="M65" s="7">
        <f t="shared" si="0"/>
        <v>6.75</v>
      </c>
      <c r="N65" t="str" cm="1">
        <f t="array" ref="N65">_xlfn.IFS(I65="Rob","Robusta",I65="Exc","Excelsa",I65="Ara","Arabica",I65="Lib","Liberica")</f>
        <v>Arabica</v>
      </c>
      <c r="O65" t="str" cm="1">
        <f t="array" ref="O65">_xlfn.IFS(J65="M","Medium",J65="L","Light",J65="D","Dark")</f>
        <v>Medium</v>
      </c>
      <c r="P65" t="str">
        <f>_xlfn.XLOOKUP(Orders[[#This Row],[Customer ID]],customers!$A$1:$A$1001,customers!$I$1:$I$1001,,0)</f>
        <v>No</v>
      </c>
    </row>
    <row r="66" spans="1:16" x14ac:dyDescent="0.35">
      <c r="A66" s="2" t="s">
        <v>849</v>
      </c>
      <c r="B66" s="5">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6">
        <f>INDEX(products!$A$1:$G$49,MATCH(orders!$D66,products!$A$1:$A$49,0),MATCH(K$1,products!$A$1:$G$1,0))</f>
        <v>0.5</v>
      </c>
      <c r="L66" s="7">
        <f>INDEX(products!$A$1:$G$49,MATCH(orders!$D66,products!$A$1:$A$49,0),MATCH(L$1,products!$A$1:$G$1,0))</f>
        <v>5.97</v>
      </c>
      <c r="M66" s="7">
        <f t="shared" si="0"/>
        <v>35.82</v>
      </c>
      <c r="N66" t="str" cm="1">
        <f t="array" ref="N66">_xlfn.IFS(I66="Rob","Robusta",I66="Exc","Excelsa",I66="Ara","Arabica",I66="Lib","Liberica")</f>
        <v>Robusta</v>
      </c>
      <c r="O66" t="str" cm="1">
        <f t="array" ref="O66">_xlfn.IFS(J66="M","Medium",J66="L","Light",J66="D","Dark")</f>
        <v>Medium</v>
      </c>
      <c r="P66" t="str">
        <f>_xlfn.XLOOKUP(Orders[[#This Row],[Customer ID]],customers!$A$1:$A$1001,customers!$I$1:$I$1001,,0)</f>
        <v>Yes</v>
      </c>
    </row>
    <row r="67" spans="1:16" x14ac:dyDescent="0.35">
      <c r="A67" s="2" t="s">
        <v>854</v>
      </c>
      <c r="B67" s="5">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6">
        <f>INDEX(products!$A$1:$G$49,MATCH(orders!$D67,products!$A$1:$A$49,0),MATCH(K$1,products!$A$1:$G$1,0))</f>
        <v>2.5</v>
      </c>
      <c r="L67" s="7">
        <f>INDEX(products!$A$1:$G$49,MATCH(orders!$D67,products!$A$1:$A$49,0),MATCH(L$1,products!$A$1:$G$1,0))</f>
        <v>20.584999999999997</v>
      </c>
      <c r="M67" s="7">
        <f t="shared" ref="M67:M130" si="1">PRODUCT(L67,E67)</f>
        <v>82.339999999999989</v>
      </c>
      <c r="N67" t="str" cm="1">
        <f t="array" ref="N67">_xlfn.IFS(I67="Rob","Robusta",I67="Exc","Excelsa",I67="Ara","Arabica",I67="Lib","Liberica")</f>
        <v>Robusta</v>
      </c>
      <c r="O67" t="str" cm="1">
        <f t="array" ref="O67">_xlfn.IFS(J67="M","Medium",J67="L","Light",J67="D","Dark")</f>
        <v>Dark</v>
      </c>
      <c r="P67" t="str">
        <f>_xlfn.XLOOKUP(Orders[[#This Row],[Customer ID]],customers!$A$1:$A$1001,customers!$I$1:$I$1001,,0)</f>
        <v>Yes</v>
      </c>
    </row>
    <row r="68" spans="1:16" x14ac:dyDescent="0.35">
      <c r="A68" s="2" t="s">
        <v>860</v>
      </c>
      <c r="B68" s="5">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6">
        <f>INDEX(products!$A$1:$G$49,MATCH(orders!$D68,products!$A$1:$A$49,0),MATCH(K$1,products!$A$1:$G$1,0))</f>
        <v>0.5</v>
      </c>
      <c r="L68" s="7">
        <f>INDEX(products!$A$1:$G$49,MATCH(orders!$D68,products!$A$1:$A$49,0),MATCH(L$1,products!$A$1:$G$1,0))</f>
        <v>7.169999999999999</v>
      </c>
      <c r="M68" s="7">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ID]],customers!$A$1:$A$1001,customers!$I$1:$I$1001,,0)</f>
        <v>Yes</v>
      </c>
    </row>
    <row r="69" spans="1:16" x14ac:dyDescent="0.35">
      <c r="A69" s="2" t="s">
        <v>866</v>
      </c>
      <c r="B69" s="5">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6">
        <f>INDEX(products!$A$1:$G$49,MATCH(orders!$D69,products!$A$1:$A$49,0),MATCH(K$1,products!$A$1:$G$1,0))</f>
        <v>0.2</v>
      </c>
      <c r="L69" s="7">
        <f>INDEX(products!$A$1:$G$49,MATCH(orders!$D69,products!$A$1:$A$49,0),MATCH(L$1,products!$A$1:$G$1,0))</f>
        <v>4.7549999999999999</v>
      </c>
      <c r="M69" s="7">
        <f t="shared" si="1"/>
        <v>9.51</v>
      </c>
      <c r="N69" t="str" cm="1">
        <f t="array" ref="N69">_xlfn.IFS(I69="Rob","Robusta",I69="Exc","Excelsa",I69="Ara","Arabica",I69="Lib","Liberica")</f>
        <v>Liberica</v>
      </c>
      <c r="O69" t="str" cm="1">
        <f t="array" ref="O69">_xlfn.IFS(J69="M","Medium",J69="L","Light",J69="D","Dark")</f>
        <v>Light</v>
      </c>
      <c r="P69" t="str">
        <f>_xlfn.XLOOKUP(Orders[[#This Row],[Customer ID]],customers!$A$1:$A$1001,customers!$I$1:$I$1001,,0)</f>
        <v>No</v>
      </c>
    </row>
    <row r="70" spans="1:16" x14ac:dyDescent="0.35">
      <c r="A70" s="2" t="s">
        <v>872</v>
      </c>
      <c r="B70" s="5">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6">
        <f>INDEX(products!$A$1:$G$49,MATCH(orders!$D70,products!$A$1:$A$49,0),MATCH(K$1,products!$A$1:$G$1,0))</f>
        <v>0.2</v>
      </c>
      <c r="L70" s="7">
        <f>INDEX(products!$A$1:$G$49,MATCH(orders!$D70,products!$A$1:$A$49,0),MATCH(L$1,products!$A$1:$G$1,0))</f>
        <v>2.9849999999999999</v>
      </c>
      <c r="M70" s="7">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ID]],customers!$A$1:$A$1001,customers!$I$1:$I$1001,,0)</f>
        <v>No</v>
      </c>
    </row>
    <row r="71" spans="1:16" x14ac:dyDescent="0.35">
      <c r="A71" s="2" t="s">
        <v>878</v>
      </c>
      <c r="B71" s="5">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6">
        <f>INDEX(products!$A$1:$G$49,MATCH(orders!$D71,products!$A$1:$A$49,0),MATCH(K$1,products!$A$1:$G$1,0))</f>
        <v>1</v>
      </c>
      <c r="L71" s="7">
        <f>INDEX(products!$A$1:$G$49,MATCH(orders!$D71,products!$A$1:$A$49,0),MATCH(L$1,products!$A$1:$G$1,0))</f>
        <v>9.9499999999999993</v>
      </c>
      <c r="M71" s="7">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ID]],customers!$A$1:$A$1001,customers!$I$1:$I$1001,,0)</f>
        <v>Yes</v>
      </c>
    </row>
    <row r="72" spans="1:16" x14ac:dyDescent="0.35">
      <c r="A72" s="2" t="s">
        <v>885</v>
      </c>
      <c r="B72" s="5">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6">
        <f>INDEX(products!$A$1:$G$49,MATCH(orders!$D72,products!$A$1:$A$49,0),MATCH(K$1,products!$A$1:$G$1,0))</f>
        <v>2.5</v>
      </c>
      <c r="L72" s="7">
        <f>INDEX(products!$A$1:$G$49,MATCH(orders!$D72,products!$A$1:$A$49,0),MATCH(L$1,products!$A$1:$G$1,0))</f>
        <v>34.154999999999994</v>
      </c>
      <c r="M72" s="7">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ID]],customers!$A$1:$A$1001,customers!$I$1:$I$1001,,0)</f>
        <v>No</v>
      </c>
    </row>
    <row r="73" spans="1:16" x14ac:dyDescent="0.35">
      <c r="A73" s="2" t="s">
        <v>891</v>
      </c>
      <c r="B73" s="5">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6">
        <f>INDEX(products!$A$1:$G$49,MATCH(orders!$D73,products!$A$1:$A$49,0),MATCH(K$1,products!$A$1:$G$1,0))</f>
        <v>0.2</v>
      </c>
      <c r="L73" s="7">
        <f>INDEX(products!$A$1:$G$49,MATCH(orders!$D73,products!$A$1:$A$49,0),MATCH(L$1,products!$A$1:$G$1,0))</f>
        <v>4.7549999999999999</v>
      </c>
      <c r="M73" s="7">
        <f t="shared" si="1"/>
        <v>9.51</v>
      </c>
      <c r="N73" t="str" cm="1">
        <f t="array" ref="N73">_xlfn.IFS(I73="Rob","Robusta",I73="Exc","Excelsa",I73="Ara","Arabica",I73="Lib","Liberica")</f>
        <v>Liberica</v>
      </c>
      <c r="O73" t="str" cm="1">
        <f t="array" ref="O73">_xlfn.IFS(J73="M","Medium",J73="L","Light",J73="D","Dark")</f>
        <v>Light</v>
      </c>
      <c r="P73" t="str">
        <f>_xlfn.XLOOKUP(Orders[[#This Row],[Customer ID]],customers!$A$1:$A$1001,customers!$I$1:$I$1001,,0)</f>
        <v>No</v>
      </c>
    </row>
    <row r="74" spans="1:16" x14ac:dyDescent="0.35">
      <c r="A74" s="2" t="s">
        <v>897</v>
      </c>
      <c r="B74" s="5">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6">
        <f>INDEX(products!$A$1:$G$49,MATCH(orders!$D74,products!$A$1:$A$49,0),MATCH(K$1,products!$A$1:$G$1,0))</f>
        <v>2.5</v>
      </c>
      <c r="L74" s="7">
        <f>INDEX(products!$A$1:$G$49,MATCH(orders!$D74,products!$A$1:$A$49,0),MATCH(L$1,products!$A$1:$G$1,0))</f>
        <v>25.874999999999996</v>
      </c>
      <c r="M74" s="7">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ID]],customers!$A$1:$A$1001,customers!$I$1:$I$1001,,0)</f>
        <v>No</v>
      </c>
    </row>
    <row r="75" spans="1:16" x14ac:dyDescent="0.35">
      <c r="A75" s="2" t="s">
        <v>902</v>
      </c>
      <c r="B75" s="5">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6">
        <f>INDEX(products!$A$1:$G$49,MATCH(orders!$D75,products!$A$1:$A$49,0),MATCH(K$1,products!$A$1:$G$1,0))</f>
        <v>0.2</v>
      </c>
      <c r="L75" s="7">
        <f>INDEX(products!$A$1:$G$49,MATCH(orders!$D75,products!$A$1:$A$49,0),MATCH(L$1,products!$A$1:$G$1,0))</f>
        <v>4.3650000000000002</v>
      </c>
      <c r="M75" s="7">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ID]],customers!$A$1:$A$1001,customers!$I$1:$I$1001,,0)</f>
        <v>Yes</v>
      </c>
    </row>
    <row r="76" spans="1:16" x14ac:dyDescent="0.35">
      <c r="A76" s="2" t="s">
        <v>907</v>
      </c>
      <c r="B76" s="5">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6">
        <f>INDEX(products!$A$1:$G$49,MATCH(orders!$D76,products!$A$1:$A$49,0),MATCH(K$1,products!$A$1:$G$1,0))</f>
        <v>0.5</v>
      </c>
      <c r="L76" s="7">
        <f>INDEX(products!$A$1:$G$49,MATCH(orders!$D76,products!$A$1:$A$49,0),MATCH(L$1,products!$A$1:$G$1,0))</f>
        <v>8.91</v>
      </c>
      <c r="M76" s="7">
        <f t="shared" si="1"/>
        <v>17.82</v>
      </c>
      <c r="N76" t="str" cm="1">
        <f t="array" ref="N76">_xlfn.IFS(I76="Rob","Robusta",I76="Exc","Excelsa",I76="Ara","Arabica",I76="Lib","Liberica")</f>
        <v>Excelsa</v>
      </c>
      <c r="O76" t="str" cm="1">
        <f t="array" ref="O76">_xlfn.IFS(J76="M","Medium",J76="L","Light",J76="D","Dark")</f>
        <v>Light</v>
      </c>
      <c r="P76" t="str">
        <f>_xlfn.XLOOKUP(Orders[[#This Row],[Customer ID]],customers!$A$1:$A$1001,customers!$I$1:$I$1001,,0)</f>
        <v>Yes</v>
      </c>
    </row>
    <row r="77" spans="1:16" x14ac:dyDescent="0.35">
      <c r="A77" s="2" t="s">
        <v>913</v>
      </c>
      <c r="B77" s="5">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6">
        <f>INDEX(products!$A$1:$G$49,MATCH(orders!$D77,products!$A$1:$A$49,0),MATCH(K$1,products!$A$1:$G$1,0))</f>
        <v>1</v>
      </c>
      <c r="L77" s="7">
        <f>INDEX(products!$A$1:$G$49,MATCH(orders!$D77,products!$A$1:$A$49,0),MATCH(L$1,products!$A$1:$G$1,0))</f>
        <v>8.9499999999999993</v>
      </c>
      <c r="M77" s="7">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ID]],customers!$A$1:$A$1001,customers!$I$1:$I$1001,,0)</f>
        <v>Yes</v>
      </c>
    </row>
    <row r="78" spans="1:16" x14ac:dyDescent="0.35">
      <c r="A78" s="2" t="s">
        <v>919</v>
      </c>
      <c r="B78" s="5">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6">
        <f>INDEX(products!$A$1:$G$49,MATCH(orders!$D78,products!$A$1:$A$49,0),MATCH(K$1,products!$A$1:$G$1,0))</f>
        <v>0.2</v>
      </c>
      <c r="L78" s="7">
        <f>INDEX(products!$A$1:$G$49,MATCH(orders!$D78,products!$A$1:$A$49,0),MATCH(L$1,products!$A$1:$G$1,0))</f>
        <v>3.5849999999999995</v>
      </c>
      <c r="M78" s="7">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ID]],customers!$A$1:$A$1001,customers!$I$1:$I$1001,,0)</f>
        <v>Yes</v>
      </c>
    </row>
    <row r="79" spans="1:16" x14ac:dyDescent="0.35">
      <c r="A79" s="2" t="s">
        <v>924</v>
      </c>
      <c r="B79" s="5">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6">
        <f>INDEX(products!$A$1:$G$49,MATCH(orders!$D79,products!$A$1:$A$49,0),MATCH(K$1,products!$A$1:$G$1,0))</f>
        <v>0.2</v>
      </c>
      <c r="L79" s="7">
        <f>INDEX(products!$A$1:$G$49,MATCH(orders!$D79,products!$A$1:$A$49,0),MATCH(L$1,products!$A$1:$G$1,0))</f>
        <v>3.645</v>
      </c>
      <c r="M79" s="7">
        <f t="shared" si="1"/>
        <v>7.29</v>
      </c>
      <c r="N79" t="str" cm="1">
        <f t="array" ref="N79">_xlfn.IFS(I79="Rob","Robusta",I79="Exc","Excelsa",I79="Ara","Arabica",I79="Lib","Liberica")</f>
        <v>Excelsa</v>
      </c>
      <c r="O79" t="str" cm="1">
        <f t="array" ref="O79">_xlfn.IFS(J79="M","Medium",J79="L","Light",J79="D","Dark")</f>
        <v>Dark</v>
      </c>
      <c r="P79" t="str">
        <f>_xlfn.XLOOKUP(Orders[[#This Row],[Customer ID]],customers!$A$1:$A$1001,customers!$I$1:$I$1001,,0)</f>
        <v>No</v>
      </c>
    </row>
    <row r="80" spans="1:16" x14ac:dyDescent="0.35">
      <c r="A80" s="2" t="s">
        <v>930</v>
      </c>
      <c r="B80" s="5">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6">
        <f>INDEX(products!$A$1:$G$49,MATCH(orders!$D80,products!$A$1:$A$49,0),MATCH(K$1,products!$A$1:$G$1,0))</f>
        <v>0.5</v>
      </c>
      <c r="L80" s="7">
        <f>INDEX(products!$A$1:$G$49,MATCH(orders!$D80,products!$A$1:$A$49,0),MATCH(L$1,products!$A$1:$G$1,0))</f>
        <v>6.75</v>
      </c>
      <c r="M80" s="7">
        <f t="shared" si="1"/>
        <v>40.5</v>
      </c>
      <c r="N80" t="str" cm="1">
        <f t="array" ref="N80">_xlfn.IFS(I80="Rob","Robusta",I80="Exc","Excelsa",I80="Ara","Arabica",I80="Lib","Liberica")</f>
        <v>Arabica</v>
      </c>
      <c r="O80" t="str" cm="1">
        <f t="array" ref="O80">_xlfn.IFS(J80="M","Medium",J80="L","Light",J80="D","Dark")</f>
        <v>Medium</v>
      </c>
      <c r="P80" t="str">
        <f>_xlfn.XLOOKUP(Orders[[#This Row],[Customer ID]],customers!$A$1:$A$1001,customers!$I$1:$I$1001,,0)</f>
        <v>Yes</v>
      </c>
    </row>
    <row r="81" spans="1:16" x14ac:dyDescent="0.35">
      <c r="A81" s="2" t="s">
        <v>936</v>
      </c>
      <c r="B81" s="5">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6">
        <f>INDEX(products!$A$1:$G$49,MATCH(orders!$D81,products!$A$1:$A$49,0),MATCH(K$1,products!$A$1:$G$1,0))</f>
        <v>1</v>
      </c>
      <c r="L81" s="7">
        <f>INDEX(products!$A$1:$G$49,MATCH(orders!$D81,products!$A$1:$A$49,0),MATCH(L$1,products!$A$1:$G$1,0))</f>
        <v>11.95</v>
      </c>
      <c r="M81" s="7">
        <f t="shared" si="1"/>
        <v>47.8</v>
      </c>
      <c r="N81" t="str" cm="1">
        <f t="array" ref="N81">_xlfn.IFS(I81="Rob","Robusta",I81="Exc","Excelsa",I81="Ara","Arabica",I81="Lib","Liberica")</f>
        <v>Robusta</v>
      </c>
      <c r="O81" t="str" cm="1">
        <f t="array" ref="O81">_xlfn.IFS(J81="M","Medium",J81="L","Light",J81="D","Dark")</f>
        <v>Light</v>
      </c>
      <c r="P81" t="str">
        <f>_xlfn.XLOOKUP(Orders[[#This Row],[Customer ID]],customers!$A$1:$A$1001,customers!$I$1:$I$1001,,0)</f>
        <v>No</v>
      </c>
    </row>
    <row r="82" spans="1:16" x14ac:dyDescent="0.35">
      <c r="A82" s="2" t="s">
        <v>942</v>
      </c>
      <c r="B82" s="5">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6">
        <f>INDEX(products!$A$1:$G$49,MATCH(orders!$D82,products!$A$1:$A$49,0),MATCH(K$1,products!$A$1:$G$1,0))</f>
        <v>0.5</v>
      </c>
      <c r="L82" s="7">
        <f>INDEX(products!$A$1:$G$49,MATCH(orders!$D82,products!$A$1:$A$49,0),MATCH(L$1,products!$A$1:$G$1,0))</f>
        <v>7.77</v>
      </c>
      <c r="M82" s="7">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ID]],customers!$A$1:$A$1001,customers!$I$1:$I$1001,,0)</f>
        <v>Yes</v>
      </c>
    </row>
    <row r="83" spans="1:16" x14ac:dyDescent="0.35">
      <c r="A83" s="2" t="s">
        <v>948</v>
      </c>
      <c r="B83" s="5">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6">
        <f>INDEX(products!$A$1:$G$49,MATCH(orders!$D83,products!$A$1:$A$49,0),MATCH(K$1,products!$A$1:$G$1,0))</f>
        <v>2.5</v>
      </c>
      <c r="L83" s="7">
        <f>INDEX(products!$A$1:$G$49,MATCH(orders!$D83,products!$A$1:$A$49,0),MATCH(L$1,products!$A$1:$G$1,0))</f>
        <v>36.454999999999998</v>
      </c>
      <c r="M83" s="7">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ID]],customers!$A$1:$A$1001,customers!$I$1:$I$1001,,0)</f>
        <v>Yes</v>
      </c>
    </row>
    <row r="84" spans="1:16" x14ac:dyDescent="0.35">
      <c r="A84" s="2" t="s">
        <v>954</v>
      </c>
      <c r="B84" s="5">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6">
        <f>INDEX(products!$A$1:$G$49,MATCH(orders!$D84,products!$A$1:$A$49,0),MATCH(K$1,products!$A$1:$G$1,0))</f>
        <v>2.5</v>
      </c>
      <c r="L84" s="7">
        <f>INDEX(products!$A$1:$G$49,MATCH(orders!$D84,products!$A$1:$A$49,0),MATCH(L$1,products!$A$1:$G$1,0))</f>
        <v>33.464999999999996</v>
      </c>
      <c r="M84" s="7">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ID]],customers!$A$1:$A$1001,customers!$I$1:$I$1001,,0)</f>
        <v>Yes</v>
      </c>
    </row>
    <row r="85" spans="1:16" x14ac:dyDescent="0.35">
      <c r="A85" s="2" t="s">
        <v>960</v>
      </c>
      <c r="B85" s="5">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6">
        <f>INDEX(products!$A$1:$G$49,MATCH(orders!$D85,products!$A$1:$A$49,0),MATCH(K$1,products!$A$1:$G$1,0))</f>
        <v>2.5</v>
      </c>
      <c r="L85" s="7">
        <f>INDEX(products!$A$1:$G$49,MATCH(orders!$D85,products!$A$1:$A$49,0),MATCH(L$1,products!$A$1:$G$1,0))</f>
        <v>20.584999999999997</v>
      </c>
      <c r="M85" s="7">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ID]],customers!$A$1:$A$1001,customers!$I$1:$I$1001,,0)</f>
        <v>Yes</v>
      </c>
    </row>
    <row r="86" spans="1:16" x14ac:dyDescent="0.35">
      <c r="A86" s="2" t="s">
        <v>965</v>
      </c>
      <c r="B86" s="5">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6">
        <f>INDEX(products!$A$1:$G$49,MATCH(orders!$D86,products!$A$1:$A$49,0),MATCH(K$1,products!$A$1:$G$1,0))</f>
        <v>0.5</v>
      </c>
      <c r="L86" s="7">
        <f>INDEX(products!$A$1:$G$49,MATCH(orders!$D86,products!$A$1:$A$49,0),MATCH(L$1,products!$A$1:$G$1,0))</f>
        <v>9.51</v>
      </c>
      <c r="M86" s="7">
        <f t="shared" si="1"/>
        <v>9.51</v>
      </c>
      <c r="N86" t="str" cm="1">
        <f t="array" ref="N86">_xlfn.IFS(I86="Rob","Robusta",I86="Exc","Excelsa",I86="Ara","Arabica",I86="Lib","Liberica")</f>
        <v>Liberica</v>
      </c>
      <c r="O86" t="str" cm="1">
        <f t="array" ref="O86">_xlfn.IFS(J86="M","Medium",J86="L","Light",J86="D","Dark")</f>
        <v>Light</v>
      </c>
      <c r="P86" t="str">
        <f>_xlfn.XLOOKUP(Orders[[#This Row],[Customer ID]],customers!$A$1:$A$1001,customers!$I$1:$I$1001,,0)</f>
        <v>No</v>
      </c>
    </row>
    <row r="87" spans="1:16" x14ac:dyDescent="0.35">
      <c r="A87" s="2" t="s">
        <v>971</v>
      </c>
      <c r="B87" s="5">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6">
        <f>INDEX(products!$A$1:$G$49,MATCH(orders!$D87,products!$A$1:$A$49,0),MATCH(K$1,products!$A$1:$G$1,0))</f>
        <v>2.5</v>
      </c>
      <c r="L87" s="7">
        <f>INDEX(products!$A$1:$G$49,MATCH(orders!$D87,products!$A$1:$A$49,0),MATCH(L$1,products!$A$1:$G$1,0))</f>
        <v>29.784999999999997</v>
      </c>
      <c r="M87" s="7">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ID]],customers!$A$1:$A$1001,customers!$I$1:$I$1001,,0)</f>
        <v>No</v>
      </c>
    </row>
    <row r="88" spans="1:16" x14ac:dyDescent="0.35">
      <c r="A88" s="2" t="s">
        <v>971</v>
      </c>
      <c r="B88" s="5">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6">
        <f>INDEX(products!$A$1:$G$49,MATCH(orders!$D88,products!$A$1:$A$49,0),MATCH(K$1,products!$A$1:$G$1,0))</f>
        <v>0.2</v>
      </c>
      <c r="L88" s="7">
        <f>INDEX(products!$A$1:$G$49,MATCH(orders!$D88,products!$A$1:$A$49,0),MATCH(L$1,products!$A$1:$G$1,0))</f>
        <v>2.9849999999999999</v>
      </c>
      <c r="M88" s="7">
        <f t="shared" si="1"/>
        <v>11.94</v>
      </c>
      <c r="N88" t="str" cm="1">
        <f t="array" ref="N88">_xlfn.IFS(I88="Rob","Robusta",I88="Exc","Excelsa",I88="Ara","Arabica",I88="Lib","Liberica")</f>
        <v>Arabica</v>
      </c>
      <c r="O88" t="str" cm="1">
        <f t="array" ref="O88">_xlfn.IFS(J88="M","Medium",J88="L","Light",J88="D","Dark")</f>
        <v>Dark</v>
      </c>
      <c r="P88" t="str">
        <f>_xlfn.XLOOKUP(Orders[[#This Row],[Customer ID]],customers!$A$1:$A$1001,customers!$I$1:$I$1001,,0)</f>
        <v>No</v>
      </c>
    </row>
    <row r="89" spans="1:16" x14ac:dyDescent="0.35">
      <c r="A89" s="2" t="s">
        <v>980</v>
      </c>
      <c r="B89" s="5">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6">
        <f>INDEX(products!$A$1:$G$49,MATCH(orders!$D89,products!$A$1:$A$49,0),MATCH(K$1,products!$A$1:$G$1,0))</f>
        <v>1</v>
      </c>
      <c r="L89" s="7">
        <f>INDEX(products!$A$1:$G$49,MATCH(orders!$D89,products!$A$1:$A$49,0),MATCH(L$1,products!$A$1:$G$1,0))</f>
        <v>11.25</v>
      </c>
      <c r="M89" s="7">
        <f t="shared" si="1"/>
        <v>33.75</v>
      </c>
      <c r="N89" t="str" cm="1">
        <f t="array" ref="N89">_xlfn.IFS(I89="Rob","Robusta",I89="Exc","Excelsa",I89="Ara","Arabica",I89="Lib","Liberica")</f>
        <v>Arabica</v>
      </c>
      <c r="O89" t="str" cm="1">
        <f t="array" ref="O89">_xlfn.IFS(J89="M","Medium",J89="L","Light",J89="D","Dark")</f>
        <v>Medium</v>
      </c>
      <c r="P89" t="str">
        <f>_xlfn.XLOOKUP(Orders[[#This Row],[Customer ID]],customers!$A$1:$A$1001,customers!$I$1:$I$1001,,0)</f>
        <v>No</v>
      </c>
    </row>
    <row r="90" spans="1:16" x14ac:dyDescent="0.35">
      <c r="A90" s="2" t="s">
        <v>985</v>
      </c>
      <c r="B90" s="5">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6">
        <f>INDEX(products!$A$1:$G$49,MATCH(orders!$D90,products!$A$1:$A$49,0),MATCH(K$1,products!$A$1:$G$1,0))</f>
        <v>1</v>
      </c>
      <c r="L90" s="7">
        <f>INDEX(products!$A$1:$G$49,MATCH(orders!$D90,products!$A$1:$A$49,0),MATCH(L$1,products!$A$1:$G$1,0))</f>
        <v>11.95</v>
      </c>
      <c r="M90" s="7">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ID]],customers!$A$1:$A$1001,customers!$I$1:$I$1001,,0)</f>
        <v>No</v>
      </c>
    </row>
    <row r="91" spans="1:16" x14ac:dyDescent="0.35">
      <c r="A91" s="2" t="s">
        <v>990</v>
      </c>
      <c r="B91" s="5">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6">
        <f>INDEX(products!$A$1:$G$49,MATCH(orders!$D91,products!$A$1:$A$49,0),MATCH(K$1,products!$A$1:$G$1,0))</f>
        <v>1</v>
      </c>
      <c r="L91" s="7">
        <f>INDEX(products!$A$1:$G$49,MATCH(orders!$D91,products!$A$1:$A$49,0),MATCH(L$1,products!$A$1:$G$1,0))</f>
        <v>12.95</v>
      </c>
      <c r="M91" s="7">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ID]],customers!$A$1:$A$1001,customers!$I$1:$I$1001,,0)</f>
        <v>No</v>
      </c>
    </row>
    <row r="92" spans="1:16" x14ac:dyDescent="0.35">
      <c r="A92" s="2" t="s">
        <v>996</v>
      </c>
      <c r="B92" s="5">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6">
        <f>INDEX(products!$A$1:$G$49,MATCH(orders!$D92,products!$A$1:$A$49,0),MATCH(K$1,products!$A$1:$G$1,0))</f>
        <v>1</v>
      </c>
      <c r="L92" s="7">
        <f>INDEX(products!$A$1:$G$49,MATCH(orders!$D92,products!$A$1:$A$49,0),MATCH(L$1,products!$A$1:$G$1,0))</f>
        <v>12.95</v>
      </c>
      <c r="M92" s="7">
        <f t="shared" si="1"/>
        <v>51.8</v>
      </c>
      <c r="N92" t="str" cm="1">
        <f t="array" ref="N92">_xlfn.IFS(I92="Rob","Robusta",I92="Exc","Excelsa",I92="Ara","Arabica",I92="Lib","Liberica")</f>
        <v>Arabica</v>
      </c>
      <c r="O92" t="str" cm="1">
        <f t="array" ref="O92">_xlfn.IFS(J92="M","Medium",J92="L","Light",J92="D","Dark")</f>
        <v>Light</v>
      </c>
      <c r="P92" t="str">
        <f>_xlfn.XLOOKUP(Orders[[#This Row],[Customer ID]],customers!$A$1:$A$1001,customers!$I$1:$I$1001,,0)</f>
        <v>Yes</v>
      </c>
    </row>
    <row r="93" spans="1:16" x14ac:dyDescent="0.35">
      <c r="A93" s="2" t="s">
        <v>1001</v>
      </c>
      <c r="B93" s="5">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6">
        <f>INDEX(products!$A$1:$G$49,MATCH(orders!$D93,products!$A$1:$A$49,0),MATCH(K$1,products!$A$1:$G$1,0))</f>
        <v>2.5</v>
      </c>
      <c r="L93" s="7">
        <f>INDEX(products!$A$1:$G$49,MATCH(orders!$D93,products!$A$1:$A$49,0),MATCH(L$1,products!$A$1:$G$1,0))</f>
        <v>25.874999999999996</v>
      </c>
      <c r="M93" s="7">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ID]],customers!$A$1:$A$1001,customers!$I$1:$I$1001,,0)</f>
        <v>No</v>
      </c>
    </row>
    <row r="94" spans="1:16" x14ac:dyDescent="0.35">
      <c r="A94" s="2" t="s">
        <v>1007</v>
      </c>
      <c r="B94" s="5">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6">
        <f>INDEX(products!$A$1:$G$49,MATCH(orders!$D94,products!$A$1:$A$49,0),MATCH(K$1,products!$A$1:$G$1,0))</f>
        <v>1</v>
      </c>
      <c r="L94" s="7">
        <f>INDEX(products!$A$1:$G$49,MATCH(orders!$D94,products!$A$1:$A$49,0),MATCH(L$1,products!$A$1:$G$1,0))</f>
        <v>14.85</v>
      </c>
      <c r="M94" s="7">
        <f t="shared" si="1"/>
        <v>44.55</v>
      </c>
      <c r="N94" t="str" cm="1">
        <f t="array" ref="N94">_xlfn.IFS(I94="Rob","Robusta",I94="Exc","Excelsa",I94="Ara","Arabica",I94="Lib","Liberica")</f>
        <v>Excelsa</v>
      </c>
      <c r="O94" t="str" cm="1">
        <f t="array" ref="O94">_xlfn.IFS(J94="M","Medium",J94="L","Light",J94="D","Dark")</f>
        <v>Light</v>
      </c>
      <c r="P94" t="str">
        <f>_xlfn.XLOOKUP(Orders[[#This Row],[Customer ID]],customers!$A$1:$A$1001,customers!$I$1:$I$1001,,0)</f>
        <v>Yes</v>
      </c>
    </row>
    <row r="95" spans="1:16" x14ac:dyDescent="0.35">
      <c r="A95" s="2" t="s">
        <v>1012</v>
      </c>
      <c r="B95" s="5">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6">
        <f>INDEX(products!$A$1:$G$49,MATCH(orders!$D95,products!$A$1:$A$49,0),MATCH(K$1,products!$A$1:$G$1,0))</f>
        <v>0.5</v>
      </c>
      <c r="L95" s="7">
        <f>INDEX(products!$A$1:$G$49,MATCH(orders!$D95,products!$A$1:$A$49,0),MATCH(L$1,products!$A$1:$G$1,0))</f>
        <v>8.91</v>
      </c>
      <c r="M95" s="7">
        <f t="shared" si="1"/>
        <v>35.64</v>
      </c>
      <c r="N95" t="str" cm="1">
        <f t="array" ref="N95">_xlfn.IFS(I95="Rob","Robusta",I95="Exc","Excelsa",I95="Ara","Arabica",I95="Lib","Liberica")</f>
        <v>Excelsa</v>
      </c>
      <c r="O95" t="str" cm="1">
        <f t="array" ref="O95">_xlfn.IFS(J95="M","Medium",J95="L","Light",J95="D","Dark")</f>
        <v>Light</v>
      </c>
      <c r="P95" t="str">
        <f>_xlfn.XLOOKUP(Orders[[#This Row],[Customer ID]],customers!$A$1:$A$1001,customers!$I$1:$I$1001,,0)</f>
        <v>Yes</v>
      </c>
    </row>
    <row r="96" spans="1:16" x14ac:dyDescent="0.35">
      <c r="A96" s="2" t="s">
        <v>1018</v>
      </c>
      <c r="B96" s="5">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6">
        <f>INDEX(products!$A$1:$G$49,MATCH(orders!$D96,products!$A$1:$A$49,0),MATCH(K$1,products!$A$1:$G$1,0))</f>
        <v>0.2</v>
      </c>
      <c r="L96" s="7">
        <f>INDEX(products!$A$1:$G$49,MATCH(orders!$D96,products!$A$1:$A$49,0),MATCH(L$1,products!$A$1:$G$1,0))</f>
        <v>2.9849999999999999</v>
      </c>
      <c r="M96" s="7">
        <f t="shared" si="1"/>
        <v>17.91</v>
      </c>
      <c r="N96" t="str" cm="1">
        <f t="array" ref="N96">_xlfn.IFS(I96="Rob","Robusta",I96="Exc","Excelsa",I96="Ara","Arabica",I96="Lib","Liberica")</f>
        <v>Arabica</v>
      </c>
      <c r="O96" t="str" cm="1">
        <f t="array" ref="O96">_xlfn.IFS(J96="M","Medium",J96="L","Light",J96="D","Dark")</f>
        <v>Dark</v>
      </c>
      <c r="P96" t="str">
        <f>_xlfn.XLOOKUP(Orders[[#This Row],[Customer ID]],customers!$A$1:$A$1001,customers!$I$1:$I$1001,,0)</f>
        <v>Yes</v>
      </c>
    </row>
    <row r="97" spans="1:16" x14ac:dyDescent="0.35">
      <c r="A97" s="2" t="s">
        <v>1022</v>
      </c>
      <c r="B97" s="5">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6">
        <f>INDEX(products!$A$1:$G$49,MATCH(orders!$D97,products!$A$1:$A$49,0),MATCH(K$1,products!$A$1:$G$1,0))</f>
        <v>2.5</v>
      </c>
      <c r="L97" s="7">
        <f>INDEX(products!$A$1:$G$49,MATCH(orders!$D97,products!$A$1:$A$49,0),MATCH(L$1,products!$A$1:$G$1,0))</f>
        <v>25.874999999999996</v>
      </c>
      <c r="M97" s="7">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ID]],customers!$A$1:$A$1001,customers!$I$1:$I$1001,,0)</f>
        <v>No</v>
      </c>
    </row>
    <row r="98" spans="1:16" x14ac:dyDescent="0.35">
      <c r="A98" s="2" t="s">
        <v>1027</v>
      </c>
      <c r="B98" s="5">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6">
        <f>INDEX(products!$A$1:$G$49,MATCH(orders!$D98,products!$A$1:$A$49,0),MATCH(K$1,products!$A$1:$G$1,0))</f>
        <v>0.2</v>
      </c>
      <c r="L98" s="7">
        <f>INDEX(products!$A$1:$G$49,MATCH(orders!$D98,products!$A$1:$A$49,0),MATCH(L$1,products!$A$1:$G$1,0))</f>
        <v>2.9849999999999999</v>
      </c>
      <c r="M98" s="7">
        <f t="shared" si="1"/>
        <v>5.97</v>
      </c>
      <c r="N98" t="str" cm="1">
        <f t="array" ref="N98">_xlfn.IFS(I98="Rob","Robusta",I98="Exc","Excelsa",I98="Ara","Arabica",I98="Lib","Liberica")</f>
        <v>Arabica</v>
      </c>
      <c r="O98" t="str" cm="1">
        <f t="array" ref="O98">_xlfn.IFS(J98="M","Medium",J98="L","Light",J98="D","Dark")</f>
        <v>Dark</v>
      </c>
      <c r="P98" t="str">
        <f>_xlfn.XLOOKUP(Orders[[#This Row],[Customer ID]],customers!$A$1:$A$1001,customers!$I$1:$I$1001,,0)</f>
        <v>No</v>
      </c>
    </row>
    <row r="99" spans="1:16" x14ac:dyDescent="0.35">
      <c r="A99" s="2" t="s">
        <v>1032</v>
      </c>
      <c r="B99" s="5">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6">
        <f>INDEX(products!$A$1:$G$49,MATCH(orders!$D99,products!$A$1:$A$49,0),MATCH(K$1,products!$A$1:$G$1,0))</f>
        <v>0.5</v>
      </c>
      <c r="L99" s="7">
        <f>INDEX(products!$A$1:$G$49,MATCH(orders!$D99,products!$A$1:$A$49,0),MATCH(L$1,products!$A$1:$G$1,0))</f>
        <v>6.75</v>
      </c>
      <c r="M99" s="7">
        <f t="shared" si="1"/>
        <v>13.5</v>
      </c>
      <c r="N99" t="str" cm="1">
        <f t="array" ref="N99">_xlfn.IFS(I99="Rob","Robusta",I99="Exc","Excelsa",I99="Ara","Arabica",I99="Lib","Liberica")</f>
        <v>Arabica</v>
      </c>
      <c r="O99" t="str" cm="1">
        <f t="array" ref="O99">_xlfn.IFS(J99="M","Medium",J99="L","Light",J99="D","Dark")</f>
        <v>Medium</v>
      </c>
      <c r="P99" t="str">
        <f>_xlfn.XLOOKUP(Orders[[#This Row],[Customer ID]],customers!$A$1:$A$1001,customers!$I$1:$I$1001,,0)</f>
        <v>No</v>
      </c>
    </row>
    <row r="100" spans="1:16" x14ac:dyDescent="0.35">
      <c r="A100" s="2" t="s">
        <v>1038</v>
      </c>
      <c r="B100" s="5">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6">
        <f>INDEX(products!$A$1:$G$49,MATCH(orders!$D100,products!$A$1:$A$49,0),MATCH(K$1,products!$A$1:$G$1,0))</f>
        <v>0.2</v>
      </c>
      <c r="L100" s="7">
        <f>INDEX(products!$A$1:$G$49,MATCH(orders!$D100,products!$A$1:$A$49,0),MATCH(L$1,products!$A$1:$G$1,0))</f>
        <v>2.9849999999999999</v>
      </c>
      <c r="M100" s="7">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ID]],customers!$A$1:$A$1001,customers!$I$1:$I$1001,,0)</f>
        <v>No</v>
      </c>
    </row>
    <row r="101" spans="1:16" x14ac:dyDescent="0.35">
      <c r="A101" s="2" t="s">
        <v>1043</v>
      </c>
      <c r="B101" s="5">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6">
        <f>INDEX(products!$A$1:$G$49,MATCH(orders!$D101,products!$A$1:$A$49,0),MATCH(K$1,products!$A$1:$G$1,0))</f>
        <v>0.2</v>
      </c>
      <c r="L101" s="7">
        <f>INDEX(products!$A$1:$G$49,MATCH(orders!$D101,products!$A$1:$A$49,0),MATCH(L$1,products!$A$1:$G$1,0))</f>
        <v>4.3650000000000002</v>
      </c>
      <c r="M101" s="7">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ID]],customers!$A$1:$A$1001,customers!$I$1:$I$1001,,0)</f>
        <v>Yes</v>
      </c>
    </row>
    <row r="102" spans="1:16" x14ac:dyDescent="0.35">
      <c r="A102" s="2" t="s">
        <v>1048</v>
      </c>
      <c r="B102" s="5">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6">
        <f>INDEX(products!$A$1:$G$49,MATCH(orders!$D102,products!$A$1:$A$49,0),MATCH(K$1,products!$A$1:$G$1,0))</f>
        <v>0.2</v>
      </c>
      <c r="L102" s="7">
        <f>INDEX(products!$A$1:$G$49,MATCH(orders!$D102,products!$A$1:$A$49,0),MATCH(L$1,products!$A$1:$G$1,0))</f>
        <v>3.8849999999999998</v>
      </c>
      <c r="M102" s="7">
        <f t="shared" si="1"/>
        <v>7.77</v>
      </c>
      <c r="N102" t="str" cm="1">
        <f t="array" ref="N102">_xlfn.IFS(I102="Rob","Robusta",I102="Exc","Excelsa",I102="Ara","Arabica",I102="Lib","Liberica")</f>
        <v>Arabica</v>
      </c>
      <c r="O102" t="str" cm="1">
        <f t="array" ref="O102">_xlfn.IFS(J102="M","Medium",J102="L","Light",J102="D","Dark")</f>
        <v>Light</v>
      </c>
      <c r="P102" t="str">
        <f>_xlfn.XLOOKUP(Orders[[#This Row],[Customer ID]],customers!$A$1:$A$1001,customers!$I$1:$I$1001,,0)</f>
        <v>Yes</v>
      </c>
    </row>
    <row r="103" spans="1:16" x14ac:dyDescent="0.35">
      <c r="A103" s="2" t="s">
        <v>1053</v>
      </c>
      <c r="B103" s="5">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6">
        <f>INDEX(products!$A$1:$G$49,MATCH(orders!$D103,products!$A$1:$A$49,0),MATCH(K$1,products!$A$1:$G$1,0))</f>
        <v>2.5</v>
      </c>
      <c r="L103" s="7">
        <f>INDEX(products!$A$1:$G$49,MATCH(orders!$D103,products!$A$1:$A$49,0),MATCH(L$1,products!$A$1:$G$1,0))</f>
        <v>29.784999999999997</v>
      </c>
      <c r="M103" s="7">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ID]],customers!$A$1:$A$1001,customers!$I$1:$I$1001,,0)</f>
        <v>Yes</v>
      </c>
    </row>
    <row r="104" spans="1:16" x14ac:dyDescent="0.35">
      <c r="A104" s="2" t="s">
        <v>1059</v>
      </c>
      <c r="B104" s="5">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6">
        <f>INDEX(products!$A$1:$G$49,MATCH(orders!$D104,products!$A$1:$A$49,0),MATCH(K$1,products!$A$1:$G$1,0))</f>
        <v>1</v>
      </c>
      <c r="L104" s="7">
        <f>INDEX(products!$A$1:$G$49,MATCH(orders!$D104,products!$A$1:$A$49,0),MATCH(L$1,products!$A$1:$G$1,0))</f>
        <v>12.95</v>
      </c>
      <c r="M104" s="7">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ID]],customers!$A$1:$A$1001,customers!$I$1:$I$1001,,0)</f>
        <v>Yes</v>
      </c>
    </row>
    <row r="105" spans="1:16" x14ac:dyDescent="0.35">
      <c r="A105" s="2" t="s">
        <v>1065</v>
      </c>
      <c r="B105" s="5">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6">
        <f>INDEX(products!$A$1:$G$49,MATCH(orders!$D105,products!$A$1:$A$49,0),MATCH(K$1,products!$A$1:$G$1,0))</f>
        <v>0.2</v>
      </c>
      <c r="L105" s="7">
        <f>INDEX(products!$A$1:$G$49,MATCH(orders!$D105,products!$A$1:$A$49,0),MATCH(L$1,products!$A$1:$G$1,0))</f>
        <v>2.9849999999999999</v>
      </c>
      <c r="M105" s="7">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ID]],customers!$A$1:$A$1001,customers!$I$1:$I$1001,,0)</f>
        <v>No</v>
      </c>
    </row>
    <row r="106" spans="1:16" x14ac:dyDescent="0.35">
      <c r="A106" s="2" t="s">
        <v>1071</v>
      </c>
      <c r="B106" s="5">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6">
        <f>INDEX(products!$A$1:$G$49,MATCH(orders!$D106,products!$A$1:$A$49,0),MATCH(K$1,products!$A$1:$G$1,0))</f>
        <v>1</v>
      </c>
      <c r="L106" s="7">
        <f>INDEX(products!$A$1:$G$49,MATCH(orders!$D106,products!$A$1:$A$49,0),MATCH(L$1,products!$A$1:$G$1,0))</f>
        <v>14.55</v>
      </c>
      <c r="M106" s="7">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ID]],customers!$A$1:$A$1001,customers!$I$1:$I$1001,,0)</f>
        <v>No</v>
      </c>
    </row>
    <row r="107" spans="1:16" x14ac:dyDescent="0.35">
      <c r="A107" s="2" t="s">
        <v>1077</v>
      </c>
      <c r="B107" s="5">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6">
        <f>INDEX(products!$A$1:$G$49,MATCH(orders!$D107,products!$A$1:$A$49,0),MATCH(K$1,products!$A$1:$G$1,0))</f>
        <v>0.5</v>
      </c>
      <c r="L107" s="7">
        <f>INDEX(products!$A$1:$G$49,MATCH(orders!$D107,products!$A$1:$A$49,0),MATCH(L$1,products!$A$1:$G$1,0))</f>
        <v>6.75</v>
      </c>
      <c r="M107" s="7">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ID]],customers!$A$1:$A$1001,customers!$I$1:$I$1001,,0)</f>
        <v>Yes</v>
      </c>
    </row>
    <row r="108" spans="1:16" x14ac:dyDescent="0.35">
      <c r="A108" s="2" t="s">
        <v>1083</v>
      </c>
      <c r="B108" s="5">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6">
        <f>INDEX(products!$A$1:$G$49,MATCH(orders!$D108,products!$A$1:$A$49,0),MATCH(K$1,products!$A$1:$G$1,0))</f>
        <v>1</v>
      </c>
      <c r="L108" s="7">
        <f>INDEX(products!$A$1:$G$49,MATCH(orders!$D108,products!$A$1:$A$49,0),MATCH(L$1,products!$A$1:$G$1,0))</f>
        <v>12.15</v>
      </c>
      <c r="M108" s="7">
        <f t="shared" si="1"/>
        <v>24.3</v>
      </c>
      <c r="N108" t="str" cm="1">
        <f t="array" ref="N108">_xlfn.IFS(I108="Rob","Robusta",I108="Exc","Excelsa",I108="Ara","Arabica",I108="Lib","Liberica")</f>
        <v>Excelsa</v>
      </c>
      <c r="O108" t="str" cm="1">
        <f t="array" ref="O108">_xlfn.IFS(J108="M","Medium",J108="L","Light",J108="D","Dark")</f>
        <v>Dark</v>
      </c>
      <c r="P108" t="str">
        <f>_xlfn.XLOOKUP(Orders[[#This Row],[Customer ID]],customers!$A$1:$A$1001,customers!$I$1:$I$1001,,0)</f>
        <v>No</v>
      </c>
    </row>
    <row r="109" spans="1:16" x14ac:dyDescent="0.35">
      <c r="A109" s="2" t="s">
        <v>1089</v>
      </c>
      <c r="B109" s="5">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6">
        <f>INDEX(products!$A$1:$G$49,MATCH(orders!$D109,products!$A$1:$A$49,0),MATCH(K$1,products!$A$1:$G$1,0))</f>
        <v>0.5</v>
      </c>
      <c r="L109" s="7">
        <f>INDEX(products!$A$1:$G$49,MATCH(orders!$D109,products!$A$1:$A$49,0),MATCH(L$1,products!$A$1:$G$1,0))</f>
        <v>5.97</v>
      </c>
      <c r="M109" s="7">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ID]],customers!$A$1:$A$1001,customers!$I$1:$I$1001,,0)</f>
        <v>Yes</v>
      </c>
    </row>
    <row r="110" spans="1:16" x14ac:dyDescent="0.35">
      <c r="A110" s="2" t="s">
        <v>1095</v>
      </c>
      <c r="B110" s="5">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6">
        <f>INDEX(products!$A$1:$G$49,MATCH(orders!$D110,products!$A$1:$A$49,0),MATCH(K$1,products!$A$1:$G$1,0))</f>
        <v>0.5</v>
      </c>
      <c r="L110" s="7">
        <f>INDEX(products!$A$1:$G$49,MATCH(orders!$D110,products!$A$1:$A$49,0),MATCH(L$1,products!$A$1:$G$1,0))</f>
        <v>6.75</v>
      </c>
      <c r="M110" s="7">
        <f t="shared" si="1"/>
        <v>27</v>
      </c>
      <c r="N110" t="str" cm="1">
        <f t="array" ref="N110">_xlfn.IFS(I110="Rob","Robusta",I110="Exc","Excelsa",I110="Ara","Arabica",I110="Lib","Liberica")</f>
        <v>Arabica</v>
      </c>
      <c r="O110" t="str" cm="1">
        <f t="array" ref="O110">_xlfn.IFS(J110="M","Medium",J110="L","Light",J110="D","Dark")</f>
        <v>Medium</v>
      </c>
      <c r="P110" t="str">
        <f>_xlfn.XLOOKUP(Orders[[#This Row],[Customer ID]],customers!$A$1:$A$1001,customers!$I$1:$I$1001,,0)</f>
        <v>No</v>
      </c>
    </row>
    <row r="111" spans="1:16" x14ac:dyDescent="0.35">
      <c r="A111" s="2" t="s">
        <v>1100</v>
      </c>
      <c r="B111" s="5">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6">
        <f>INDEX(products!$A$1:$G$49,MATCH(orders!$D111,products!$A$1:$A$49,0),MATCH(K$1,products!$A$1:$G$1,0))</f>
        <v>0.5</v>
      </c>
      <c r="L111" s="7">
        <f>INDEX(products!$A$1:$G$49,MATCH(orders!$D111,products!$A$1:$A$49,0),MATCH(L$1,products!$A$1:$G$1,0))</f>
        <v>7.77</v>
      </c>
      <c r="M111" s="7">
        <f t="shared" si="1"/>
        <v>7.77</v>
      </c>
      <c r="N111" t="str" cm="1">
        <f t="array" ref="N111">_xlfn.IFS(I111="Rob","Robusta",I111="Exc","Excelsa",I111="Ara","Arabica",I111="Lib","Liberica")</f>
        <v>Liberica</v>
      </c>
      <c r="O111" t="str" cm="1">
        <f t="array" ref="O111">_xlfn.IFS(J111="M","Medium",J111="L","Light",J111="D","Dark")</f>
        <v>Dark</v>
      </c>
      <c r="P111" t="str">
        <f>_xlfn.XLOOKUP(Orders[[#This Row],[Customer ID]],customers!$A$1:$A$1001,customers!$I$1:$I$1001,,0)</f>
        <v>Yes</v>
      </c>
    </row>
    <row r="112" spans="1:16" x14ac:dyDescent="0.35">
      <c r="A112" s="2" t="s">
        <v>1106</v>
      </c>
      <c r="B112" s="5">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6">
        <f>INDEX(products!$A$1:$G$49,MATCH(orders!$D112,products!$A$1:$A$49,0),MATCH(K$1,products!$A$1:$G$1,0))</f>
        <v>0.2</v>
      </c>
      <c r="L112" s="7">
        <f>INDEX(products!$A$1:$G$49,MATCH(orders!$D112,products!$A$1:$A$49,0),MATCH(L$1,products!$A$1:$G$1,0))</f>
        <v>4.4550000000000001</v>
      </c>
      <c r="M112" s="7">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ID]],customers!$A$1:$A$1001,customers!$I$1:$I$1001,,0)</f>
        <v>Yes</v>
      </c>
    </row>
    <row r="113" spans="1:16" x14ac:dyDescent="0.35">
      <c r="A113" s="2" t="s">
        <v>1112</v>
      </c>
      <c r="B113" s="5">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6">
        <f>INDEX(products!$A$1:$G$49,MATCH(orders!$D113,products!$A$1:$A$49,0),MATCH(K$1,products!$A$1:$G$1,0))</f>
        <v>0.5</v>
      </c>
      <c r="L113" s="7">
        <f>INDEX(products!$A$1:$G$49,MATCH(orders!$D113,products!$A$1:$A$49,0),MATCH(L$1,products!$A$1:$G$1,0))</f>
        <v>5.3699999999999992</v>
      </c>
      <c r="M113" s="7">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ID]],customers!$A$1:$A$1001,customers!$I$1:$I$1001,,0)</f>
        <v>No</v>
      </c>
    </row>
    <row r="114" spans="1:16" x14ac:dyDescent="0.35">
      <c r="A114" s="2" t="s">
        <v>1117</v>
      </c>
      <c r="B114" s="5">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6">
        <f>INDEX(products!$A$1:$G$49,MATCH(orders!$D114,products!$A$1:$A$49,0),MATCH(K$1,products!$A$1:$G$1,0))</f>
        <v>1</v>
      </c>
      <c r="L114" s="7">
        <f>INDEX(products!$A$1:$G$49,MATCH(orders!$D114,products!$A$1:$A$49,0),MATCH(L$1,products!$A$1:$G$1,0))</f>
        <v>11.25</v>
      </c>
      <c r="M114" s="7">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ID]],customers!$A$1:$A$1001,customers!$I$1:$I$1001,,0)</f>
        <v>No</v>
      </c>
    </row>
    <row r="115" spans="1:16" x14ac:dyDescent="0.35">
      <c r="A115" s="2" t="s">
        <v>1123</v>
      </c>
      <c r="B115" s="5">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6">
        <f>INDEX(products!$A$1:$G$49,MATCH(orders!$D115,products!$A$1:$A$49,0),MATCH(K$1,products!$A$1:$G$1,0))</f>
        <v>1</v>
      </c>
      <c r="L115" s="7">
        <f>INDEX(products!$A$1:$G$49,MATCH(orders!$D115,products!$A$1:$A$49,0),MATCH(L$1,products!$A$1:$G$1,0))</f>
        <v>14.55</v>
      </c>
      <c r="M115" s="7">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ID]],customers!$A$1:$A$1001,customers!$I$1:$I$1001,,0)</f>
        <v>No</v>
      </c>
    </row>
    <row r="116" spans="1:16" x14ac:dyDescent="0.35">
      <c r="A116" s="2" t="s">
        <v>1129</v>
      </c>
      <c r="B116" s="5">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6">
        <f>INDEX(products!$A$1:$G$49,MATCH(orders!$D116,products!$A$1:$A$49,0),MATCH(K$1,products!$A$1:$G$1,0))</f>
        <v>0.2</v>
      </c>
      <c r="L116" s="7">
        <f>INDEX(products!$A$1:$G$49,MATCH(orders!$D116,products!$A$1:$A$49,0),MATCH(L$1,products!$A$1:$G$1,0))</f>
        <v>3.5849999999999995</v>
      </c>
      <c r="M116" s="7">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ID]],customers!$A$1:$A$1001,customers!$I$1:$I$1001,,0)</f>
        <v>No</v>
      </c>
    </row>
    <row r="117" spans="1:16" x14ac:dyDescent="0.35">
      <c r="A117" s="2" t="s">
        <v>1134</v>
      </c>
      <c r="B117" s="5">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6">
        <f>INDEX(products!$A$1:$G$49,MATCH(orders!$D117,products!$A$1:$A$49,0),MATCH(K$1,products!$A$1:$G$1,0))</f>
        <v>1</v>
      </c>
      <c r="L117" s="7">
        <f>INDEX(products!$A$1:$G$49,MATCH(orders!$D117,products!$A$1:$A$49,0),MATCH(L$1,products!$A$1:$G$1,0))</f>
        <v>15.85</v>
      </c>
      <c r="M117" s="7">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ID]],customers!$A$1:$A$1001,customers!$I$1:$I$1001,,0)</f>
        <v>No</v>
      </c>
    </row>
    <row r="118" spans="1:16" x14ac:dyDescent="0.35">
      <c r="A118" s="2" t="s">
        <v>1140</v>
      </c>
      <c r="B118" s="5">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6">
        <f>INDEX(products!$A$1:$G$49,MATCH(orders!$D118,products!$A$1:$A$49,0),MATCH(K$1,products!$A$1:$G$1,0))</f>
        <v>0.2</v>
      </c>
      <c r="L118" s="7">
        <f>INDEX(products!$A$1:$G$49,MATCH(orders!$D118,products!$A$1:$A$49,0),MATCH(L$1,products!$A$1:$G$1,0))</f>
        <v>4.7549999999999999</v>
      </c>
      <c r="M118" s="7">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ID]],customers!$A$1:$A$1001,customers!$I$1:$I$1001,,0)</f>
        <v>Yes</v>
      </c>
    </row>
    <row r="119" spans="1:16" x14ac:dyDescent="0.35">
      <c r="A119" s="2" t="s">
        <v>1146</v>
      </c>
      <c r="B119" s="5">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6">
        <f>INDEX(products!$A$1:$G$49,MATCH(orders!$D119,products!$A$1:$A$49,0),MATCH(K$1,products!$A$1:$G$1,0))</f>
        <v>0.5</v>
      </c>
      <c r="L119" s="7">
        <f>INDEX(products!$A$1:$G$49,MATCH(orders!$D119,products!$A$1:$A$49,0),MATCH(L$1,products!$A$1:$G$1,0))</f>
        <v>9.51</v>
      </c>
      <c r="M119" s="7">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ID]],customers!$A$1:$A$1001,customers!$I$1:$I$1001,,0)</f>
        <v>No</v>
      </c>
    </row>
    <row r="120" spans="1:16" x14ac:dyDescent="0.35">
      <c r="A120" s="2" t="s">
        <v>1152</v>
      </c>
      <c r="B120" s="5">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6">
        <f>INDEX(products!$A$1:$G$49,MATCH(orders!$D120,products!$A$1:$A$49,0),MATCH(K$1,products!$A$1:$G$1,0))</f>
        <v>0.5</v>
      </c>
      <c r="L120" s="7">
        <f>INDEX(products!$A$1:$G$49,MATCH(orders!$D120,products!$A$1:$A$49,0),MATCH(L$1,products!$A$1:$G$1,0))</f>
        <v>7.29</v>
      </c>
      <c r="M120" s="7">
        <f t="shared" si="1"/>
        <v>21.87</v>
      </c>
      <c r="N120" t="str" cm="1">
        <f t="array" ref="N120">_xlfn.IFS(I120="Rob","Robusta",I120="Exc","Excelsa",I120="Ara","Arabica",I120="Lib","Liberica")</f>
        <v>Excelsa</v>
      </c>
      <c r="O120" t="str" cm="1">
        <f t="array" ref="O120">_xlfn.IFS(J120="M","Medium",J120="L","Light",J120="D","Dark")</f>
        <v>Dark</v>
      </c>
      <c r="P120" t="str">
        <f>_xlfn.XLOOKUP(Orders[[#This Row],[Customer ID]],customers!$A$1:$A$1001,customers!$I$1:$I$1001,,0)</f>
        <v>Yes</v>
      </c>
    </row>
    <row r="121" spans="1:16" x14ac:dyDescent="0.35">
      <c r="A121" s="2" t="s">
        <v>1158</v>
      </c>
      <c r="B121" s="5">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6">
        <f>INDEX(products!$A$1:$G$49,MATCH(orders!$D121,products!$A$1:$A$49,0),MATCH(K$1,products!$A$1:$G$1,0))</f>
        <v>0.2</v>
      </c>
      <c r="L121" s="7">
        <f>INDEX(products!$A$1:$G$49,MATCH(orders!$D121,products!$A$1:$A$49,0),MATCH(L$1,products!$A$1:$G$1,0))</f>
        <v>4.125</v>
      </c>
      <c r="M121" s="7">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ID]],customers!$A$1:$A$1001,customers!$I$1:$I$1001,,0)</f>
        <v>No</v>
      </c>
    </row>
    <row r="122" spans="1:16" x14ac:dyDescent="0.35">
      <c r="A122" s="2" t="s">
        <v>1158</v>
      </c>
      <c r="B122" s="5">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6">
        <f>INDEX(products!$A$1:$G$49,MATCH(orders!$D122,products!$A$1:$A$49,0),MATCH(K$1,products!$A$1:$G$1,0))</f>
        <v>0.2</v>
      </c>
      <c r="L122" s="7">
        <f>INDEX(products!$A$1:$G$49,MATCH(orders!$D122,products!$A$1:$A$49,0),MATCH(L$1,products!$A$1:$G$1,0))</f>
        <v>3.8849999999999998</v>
      </c>
      <c r="M122" s="7">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ID]],customers!$A$1:$A$1001,customers!$I$1:$I$1001,,0)</f>
        <v>No</v>
      </c>
    </row>
    <row r="123" spans="1:16" x14ac:dyDescent="0.35">
      <c r="A123" s="2" t="s">
        <v>1158</v>
      </c>
      <c r="B123" s="5">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6">
        <f>INDEX(products!$A$1:$G$49,MATCH(orders!$D123,products!$A$1:$A$49,0),MATCH(K$1,products!$A$1:$G$1,0))</f>
        <v>1</v>
      </c>
      <c r="L123" s="7">
        <f>INDEX(products!$A$1:$G$49,MATCH(orders!$D123,products!$A$1:$A$49,0),MATCH(L$1,products!$A$1:$G$1,0))</f>
        <v>13.75</v>
      </c>
      <c r="M123" s="7">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ID]],customers!$A$1:$A$1001,customers!$I$1:$I$1001,,0)</f>
        <v>No</v>
      </c>
    </row>
    <row r="124" spans="1:16" x14ac:dyDescent="0.35">
      <c r="A124" s="2" t="s">
        <v>1174</v>
      </c>
      <c r="B124" s="5">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6">
        <f>INDEX(products!$A$1:$G$49,MATCH(orders!$D124,products!$A$1:$A$49,0),MATCH(K$1,products!$A$1:$G$1,0))</f>
        <v>0.5</v>
      </c>
      <c r="L124" s="7">
        <f>INDEX(products!$A$1:$G$49,MATCH(orders!$D124,products!$A$1:$A$49,0),MATCH(L$1,products!$A$1:$G$1,0))</f>
        <v>5.97</v>
      </c>
      <c r="M124" s="7">
        <f t="shared" si="1"/>
        <v>23.88</v>
      </c>
      <c r="N124" t="str" cm="1">
        <f t="array" ref="N124">_xlfn.IFS(I124="Rob","Robusta",I124="Exc","Excelsa",I124="Ara","Arabica",I124="Lib","Liberica")</f>
        <v>Arabica</v>
      </c>
      <c r="O124" t="str" cm="1">
        <f t="array" ref="O124">_xlfn.IFS(J124="M","Medium",J124="L","Light",J124="D","Dark")</f>
        <v>Dark</v>
      </c>
      <c r="P124" t="str">
        <f>_xlfn.XLOOKUP(Orders[[#This Row],[Customer ID]],customers!$A$1:$A$1001,customers!$I$1:$I$1001,,0)</f>
        <v>Yes</v>
      </c>
    </row>
    <row r="125" spans="1:16" x14ac:dyDescent="0.35">
      <c r="A125" s="2" t="s">
        <v>1180</v>
      </c>
      <c r="B125" s="5">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6">
        <f>INDEX(products!$A$1:$G$49,MATCH(orders!$D125,products!$A$1:$A$49,0),MATCH(K$1,products!$A$1:$G$1,0))</f>
        <v>2.5</v>
      </c>
      <c r="L125" s="7">
        <f>INDEX(products!$A$1:$G$49,MATCH(orders!$D125,products!$A$1:$A$49,0),MATCH(L$1,products!$A$1:$G$1,0))</f>
        <v>36.454999999999998</v>
      </c>
      <c r="M125" s="7">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ID]],customers!$A$1:$A$1001,customers!$I$1:$I$1001,,0)</f>
        <v>No</v>
      </c>
    </row>
    <row r="126" spans="1:16" x14ac:dyDescent="0.35">
      <c r="A126" s="2" t="s">
        <v>1186</v>
      </c>
      <c r="B126" s="5">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6">
        <f>INDEX(products!$A$1:$G$49,MATCH(orders!$D126,products!$A$1:$A$49,0),MATCH(K$1,products!$A$1:$G$1,0))</f>
        <v>0.2</v>
      </c>
      <c r="L126" s="7">
        <f>INDEX(products!$A$1:$G$49,MATCH(orders!$D126,products!$A$1:$A$49,0),MATCH(L$1,products!$A$1:$G$1,0))</f>
        <v>4.3650000000000002</v>
      </c>
      <c r="M126" s="7">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ID]],customers!$A$1:$A$1001,customers!$I$1:$I$1001,,0)</f>
        <v>Yes</v>
      </c>
    </row>
    <row r="127" spans="1:16" x14ac:dyDescent="0.35">
      <c r="A127" s="2" t="s">
        <v>1192</v>
      </c>
      <c r="B127" s="5">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6">
        <f>INDEX(products!$A$1:$G$49,MATCH(orders!$D127,products!$A$1:$A$49,0),MATCH(K$1,products!$A$1:$G$1,0))</f>
        <v>0.5</v>
      </c>
      <c r="L127" s="7">
        <f>INDEX(products!$A$1:$G$49,MATCH(orders!$D127,products!$A$1:$A$49,0),MATCH(L$1,products!$A$1:$G$1,0))</f>
        <v>8.73</v>
      </c>
      <c r="M127" s="7">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ID]],customers!$A$1:$A$1001,customers!$I$1:$I$1001,,0)</f>
        <v>Yes</v>
      </c>
    </row>
    <row r="128" spans="1:16" x14ac:dyDescent="0.35">
      <c r="A128" s="2" t="s">
        <v>1198</v>
      </c>
      <c r="B128" s="5">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6">
        <f>INDEX(products!$A$1:$G$49,MATCH(orders!$D128,products!$A$1:$A$49,0),MATCH(K$1,products!$A$1:$G$1,0))</f>
        <v>1</v>
      </c>
      <c r="L128" s="7">
        <f>INDEX(products!$A$1:$G$49,MATCH(orders!$D128,products!$A$1:$A$49,0),MATCH(L$1,products!$A$1:$G$1,0))</f>
        <v>11.25</v>
      </c>
      <c r="M128" s="7">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ID]],customers!$A$1:$A$1001,customers!$I$1:$I$1001,,0)</f>
        <v>No</v>
      </c>
    </row>
    <row r="129" spans="1:16" x14ac:dyDescent="0.35">
      <c r="A129" s="2" t="s">
        <v>1204</v>
      </c>
      <c r="B129" s="5">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6">
        <f>INDEX(products!$A$1:$G$49,MATCH(orders!$D129,products!$A$1:$A$49,0),MATCH(K$1,products!$A$1:$G$1,0))</f>
        <v>1</v>
      </c>
      <c r="L129" s="7">
        <f>INDEX(products!$A$1:$G$49,MATCH(orders!$D129,products!$A$1:$A$49,0),MATCH(L$1,products!$A$1:$G$1,0))</f>
        <v>12.95</v>
      </c>
      <c r="M129" s="7">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ID]],customers!$A$1:$A$1001,customers!$I$1:$I$1001,,0)</f>
        <v>No</v>
      </c>
    </row>
    <row r="130" spans="1:16" x14ac:dyDescent="0.35">
      <c r="A130" s="2" t="s">
        <v>1210</v>
      </c>
      <c r="B130" s="5">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6">
        <f>INDEX(products!$A$1:$G$49,MATCH(orders!$D130,products!$A$1:$A$49,0),MATCH(K$1,products!$A$1:$G$1,0))</f>
        <v>0.5</v>
      </c>
      <c r="L130" s="7">
        <f>INDEX(products!$A$1:$G$49,MATCH(orders!$D130,products!$A$1:$A$49,0),MATCH(L$1,products!$A$1:$G$1,0))</f>
        <v>6.75</v>
      </c>
      <c r="M130" s="7">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ID]],customers!$A$1:$A$1001,customers!$I$1:$I$1001,,0)</f>
        <v>No</v>
      </c>
    </row>
    <row r="131" spans="1:16" x14ac:dyDescent="0.35">
      <c r="A131" s="2" t="s">
        <v>1216</v>
      </c>
      <c r="B131" s="5">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6">
        <f>INDEX(products!$A$1:$G$49,MATCH(orders!$D131,products!$A$1:$A$49,0),MATCH(K$1,products!$A$1:$G$1,0))</f>
        <v>1</v>
      </c>
      <c r="L131" s="7">
        <f>INDEX(products!$A$1:$G$49,MATCH(orders!$D131,products!$A$1:$A$49,0),MATCH(L$1,products!$A$1:$G$1,0))</f>
        <v>12.15</v>
      </c>
      <c r="M131" s="7">
        <f t="shared" ref="M131:M194" si="2">PRODUCT(L131,E131)</f>
        <v>12.15</v>
      </c>
      <c r="N131" t="str" cm="1">
        <f t="array" ref="N131">_xlfn.IFS(I131="Rob","Robusta",I131="Exc","Excelsa",I131="Ara","Arabica",I131="Lib","Liberica")</f>
        <v>Excelsa</v>
      </c>
      <c r="O131" t="str" cm="1">
        <f t="array" ref="O131">_xlfn.IFS(J131="M","Medium",J131="L","Light",J131="D","Dark")</f>
        <v>Dark</v>
      </c>
      <c r="P131" t="str">
        <f>_xlfn.XLOOKUP(Orders[[#This Row],[Customer ID]],customers!$A$1:$A$1001,customers!$I$1:$I$1001,,0)</f>
        <v>Yes</v>
      </c>
    </row>
    <row r="132" spans="1:16" x14ac:dyDescent="0.35">
      <c r="A132" s="2" t="s">
        <v>1222</v>
      </c>
      <c r="B132" s="5">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6">
        <f>INDEX(products!$A$1:$G$49,MATCH(orders!$D132,products!$A$1:$A$49,0),MATCH(K$1,products!$A$1:$G$1,0))</f>
        <v>2.5</v>
      </c>
      <c r="L132" s="7">
        <f>INDEX(products!$A$1:$G$49,MATCH(orders!$D132,products!$A$1:$A$49,0),MATCH(L$1,products!$A$1:$G$1,0))</f>
        <v>29.784999999999997</v>
      </c>
      <c r="M132" s="7">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ID]],customers!$A$1:$A$1001,customers!$I$1:$I$1001,,0)</f>
        <v>Yes</v>
      </c>
    </row>
    <row r="133" spans="1:16" x14ac:dyDescent="0.35">
      <c r="A133" s="2" t="s">
        <v>1227</v>
      </c>
      <c r="B133" s="5">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6">
        <f>INDEX(products!$A$1:$G$49,MATCH(orders!$D133,products!$A$1:$A$49,0),MATCH(K$1,products!$A$1:$G$1,0))</f>
        <v>0.5</v>
      </c>
      <c r="L133" s="7">
        <f>INDEX(products!$A$1:$G$49,MATCH(orders!$D133,products!$A$1:$A$49,0),MATCH(L$1,products!$A$1:$G$1,0))</f>
        <v>7.29</v>
      </c>
      <c r="M133" s="7">
        <f t="shared" si="2"/>
        <v>14.58</v>
      </c>
      <c r="N133" t="str" cm="1">
        <f t="array" ref="N133">_xlfn.IFS(I133="Rob","Robusta",I133="Exc","Excelsa",I133="Ara","Arabica",I133="Lib","Liberica")</f>
        <v>Excelsa</v>
      </c>
      <c r="O133" t="str" cm="1">
        <f t="array" ref="O133">_xlfn.IFS(J133="M","Medium",J133="L","Light",J133="D","Dark")</f>
        <v>Dark</v>
      </c>
      <c r="P133" t="str">
        <f>_xlfn.XLOOKUP(Orders[[#This Row],[Customer ID]],customers!$A$1:$A$1001,customers!$I$1:$I$1001,,0)</f>
        <v>Yes</v>
      </c>
    </row>
    <row r="134" spans="1:16" x14ac:dyDescent="0.35">
      <c r="A134" s="2" t="s">
        <v>1233</v>
      </c>
      <c r="B134" s="5">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6">
        <f>INDEX(products!$A$1:$G$49,MATCH(orders!$D134,products!$A$1:$A$49,0),MATCH(K$1,products!$A$1:$G$1,0))</f>
        <v>2.5</v>
      </c>
      <c r="L134" s="7">
        <f>INDEX(products!$A$1:$G$49,MATCH(orders!$D134,products!$A$1:$A$49,0),MATCH(L$1,products!$A$1:$G$1,0))</f>
        <v>29.784999999999997</v>
      </c>
      <c r="M134" s="7">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ID]],customers!$A$1:$A$1001,customers!$I$1:$I$1001,,0)</f>
        <v>Yes</v>
      </c>
    </row>
    <row r="135" spans="1:16" x14ac:dyDescent="0.35">
      <c r="A135" s="2" t="s">
        <v>1239</v>
      </c>
      <c r="B135" s="5">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6">
        <f>INDEX(products!$A$1:$G$49,MATCH(orders!$D135,products!$A$1:$A$49,0),MATCH(K$1,products!$A$1:$G$1,0))</f>
        <v>1</v>
      </c>
      <c r="L135" s="7">
        <f>INDEX(products!$A$1:$G$49,MATCH(orders!$D135,products!$A$1:$A$49,0),MATCH(L$1,products!$A$1:$G$1,0))</f>
        <v>12.95</v>
      </c>
      <c r="M135" s="7">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ID]],customers!$A$1:$A$1001,customers!$I$1:$I$1001,,0)</f>
        <v>No</v>
      </c>
    </row>
    <row r="136" spans="1:16" x14ac:dyDescent="0.35">
      <c r="A136" s="2" t="s">
        <v>1245</v>
      </c>
      <c r="B136" s="5">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6">
        <f>INDEX(products!$A$1:$G$49,MATCH(orders!$D136,products!$A$1:$A$49,0),MATCH(K$1,products!$A$1:$G$1,0))</f>
        <v>2.5</v>
      </c>
      <c r="L136" s="7">
        <f>INDEX(products!$A$1:$G$49,MATCH(orders!$D136,products!$A$1:$A$49,0),MATCH(L$1,products!$A$1:$G$1,0))</f>
        <v>31.624999999999996</v>
      </c>
      <c r="M136" s="7">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ID]],customers!$A$1:$A$1001,customers!$I$1:$I$1001,,0)</f>
        <v>Yes</v>
      </c>
    </row>
    <row r="137" spans="1:16" x14ac:dyDescent="0.35">
      <c r="A137" s="2" t="s">
        <v>1249</v>
      </c>
      <c r="B137" s="5">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6">
        <f>INDEX(products!$A$1:$G$49,MATCH(orders!$D137,products!$A$1:$A$49,0),MATCH(K$1,products!$A$1:$G$1,0))</f>
        <v>0.5</v>
      </c>
      <c r="L137" s="7">
        <f>INDEX(products!$A$1:$G$49,MATCH(orders!$D137,products!$A$1:$A$49,0),MATCH(L$1,products!$A$1:$G$1,0))</f>
        <v>7.77</v>
      </c>
      <c r="M137" s="7">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ID]],customers!$A$1:$A$1001,customers!$I$1:$I$1001,,0)</f>
        <v>Yes</v>
      </c>
    </row>
    <row r="138" spans="1:16" x14ac:dyDescent="0.35">
      <c r="A138" s="2" t="s">
        <v>1255</v>
      </c>
      <c r="B138" s="5">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6">
        <f>INDEX(products!$A$1:$G$49,MATCH(orders!$D138,products!$A$1:$A$49,0),MATCH(K$1,products!$A$1:$G$1,0))</f>
        <v>0.2</v>
      </c>
      <c r="L138" s="7">
        <f>INDEX(products!$A$1:$G$49,MATCH(orders!$D138,products!$A$1:$A$49,0),MATCH(L$1,products!$A$1:$G$1,0))</f>
        <v>2.9849999999999999</v>
      </c>
      <c r="M138" s="7">
        <f t="shared" si="2"/>
        <v>11.94</v>
      </c>
      <c r="N138" t="str" cm="1">
        <f t="array" ref="N138">_xlfn.IFS(I138="Rob","Robusta",I138="Exc","Excelsa",I138="Ara","Arabica",I138="Lib","Liberica")</f>
        <v>Arabica</v>
      </c>
      <c r="O138" t="str" cm="1">
        <f t="array" ref="O138">_xlfn.IFS(J138="M","Medium",J138="L","Light",J138="D","Dark")</f>
        <v>Dark</v>
      </c>
      <c r="P138" t="str">
        <f>_xlfn.XLOOKUP(Orders[[#This Row],[Customer ID]],customers!$A$1:$A$1001,customers!$I$1:$I$1001,,0)</f>
        <v>No</v>
      </c>
    </row>
    <row r="139" spans="1:16" x14ac:dyDescent="0.35">
      <c r="A139" s="2" t="s">
        <v>1261</v>
      </c>
      <c r="B139" s="5">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6">
        <f>INDEX(products!$A$1:$G$49,MATCH(orders!$D139,products!$A$1:$A$49,0),MATCH(K$1,products!$A$1:$G$1,0))</f>
        <v>2.5</v>
      </c>
      <c r="L139" s="7">
        <f>INDEX(products!$A$1:$G$49,MATCH(orders!$D139,products!$A$1:$A$49,0),MATCH(L$1,products!$A$1:$G$1,0))</f>
        <v>34.154999999999994</v>
      </c>
      <c r="M139" s="7">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ID]],customers!$A$1:$A$1001,customers!$I$1:$I$1001,,0)</f>
        <v>No</v>
      </c>
    </row>
    <row r="140" spans="1:16" x14ac:dyDescent="0.35">
      <c r="A140" s="2" t="s">
        <v>1266</v>
      </c>
      <c r="B140" s="5">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6">
        <f>INDEX(products!$A$1:$G$49,MATCH(orders!$D140,products!$A$1:$A$49,0),MATCH(K$1,products!$A$1:$G$1,0))</f>
        <v>1</v>
      </c>
      <c r="L140" s="7">
        <f>INDEX(products!$A$1:$G$49,MATCH(orders!$D140,products!$A$1:$A$49,0),MATCH(L$1,products!$A$1:$G$1,0))</f>
        <v>12.15</v>
      </c>
      <c r="M140" s="7">
        <f t="shared" si="2"/>
        <v>48.6</v>
      </c>
      <c r="N140" t="str" cm="1">
        <f t="array" ref="N140">_xlfn.IFS(I140="Rob","Robusta",I140="Exc","Excelsa",I140="Ara","Arabica",I140="Lib","Liberica")</f>
        <v>Excelsa</v>
      </c>
      <c r="O140" t="str" cm="1">
        <f t="array" ref="O140">_xlfn.IFS(J140="M","Medium",J140="L","Light",J140="D","Dark")</f>
        <v>Dark</v>
      </c>
      <c r="P140" t="str">
        <f>_xlfn.XLOOKUP(Orders[[#This Row],[Customer ID]],customers!$A$1:$A$1001,customers!$I$1:$I$1001,,0)</f>
        <v>No</v>
      </c>
    </row>
    <row r="141" spans="1:16" x14ac:dyDescent="0.35">
      <c r="A141" s="2" t="s">
        <v>1271</v>
      </c>
      <c r="B141" s="5">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6">
        <f>INDEX(products!$A$1:$G$49,MATCH(orders!$D141,products!$A$1:$A$49,0),MATCH(K$1,products!$A$1:$G$1,0))</f>
        <v>1</v>
      </c>
      <c r="L141" s="7">
        <f>INDEX(products!$A$1:$G$49,MATCH(orders!$D141,products!$A$1:$A$49,0),MATCH(L$1,products!$A$1:$G$1,0))</f>
        <v>12.95</v>
      </c>
      <c r="M141" s="7">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ID]],customers!$A$1:$A$1001,customers!$I$1:$I$1001,,0)</f>
        <v>Yes</v>
      </c>
    </row>
    <row r="142" spans="1:16" x14ac:dyDescent="0.35">
      <c r="A142" s="2" t="s">
        <v>1276</v>
      </c>
      <c r="B142" s="5">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6">
        <f>INDEX(products!$A$1:$G$49,MATCH(orders!$D142,products!$A$1:$A$49,0),MATCH(K$1,products!$A$1:$G$1,0))</f>
        <v>2.5</v>
      </c>
      <c r="L142" s="7">
        <f>INDEX(products!$A$1:$G$49,MATCH(orders!$D142,products!$A$1:$A$49,0),MATCH(L$1,products!$A$1:$G$1,0))</f>
        <v>29.784999999999997</v>
      </c>
      <c r="M142" s="7">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ID]],customers!$A$1:$A$1001,customers!$I$1:$I$1001,,0)</f>
        <v>Yes</v>
      </c>
    </row>
    <row r="143" spans="1:16" x14ac:dyDescent="0.35">
      <c r="A143" s="2" t="s">
        <v>1283</v>
      </c>
      <c r="B143" s="5">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6">
        <f>INDEX(products!$A$1:$G$49,MATCH(orders!$D143,products!$A$1:$A$49,0),MATCH(K$1,products!$A$1:$G$1,0))</f>
        <v>0.2</v>
      </c>
      <c r="L143" s="7">
        <f>INDEX(products!$A$1:$G$49,MATCH(orders!$D143,products!$A$1:$A$49,0),MATCH(L$1,products!$A$1:$G$1,0))</f>
        <v>3.8849999999999998</v>
      </c>
      <c r="M143" s="7">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ID]],customers!$A$1:$A$1001,customers!$I$1:$I$1001,,0)</f>
        <v>Yes</v>
      </c>
    </row>
    <row r="144" spans="1:16" x14ac:dyDescent="0.35">
      <c r="A144" s="2" t="s">
        <v>1289</v>
      </c>
      <c r="B144" s="5">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6">
        <f>INDEX(products!$A$1:$G$49,MATCH(orders!$D144,products!$A$1:$A$49,0),MATCH(K$1,products!$A$1:$G$1,0))</f>
        <v>2.5</v>
      </c>
      <c r="L144" s="7">
        <f>INDEX(products!$A$1:$G$49,MATCH(orders!$D144,products!$A$1:$A$49,0),MATCH(L$1,products!$A$1:$G$1,0))</f>
        <v>34.154999999999994</v>
      </c>
      <c r="M144" s="7">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ID]],customers!$A$1:$A$1001,customers!$I$1:$I$1001,,0)</f>
        <v>Yes</v>
      </c>
    </row>
    <row r="145" spans="1:16" x14ac:dyDescent="0.35">
      <c r="A145" s="2" t="s">
        <v>1293</v>
      </c>
      <c r="B145" s="5">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6">
        <f>INDEX(products!$A$1:$G$49,MATCH(orders!$D145,products!$A$1:$A$49,0),MATCH(K$1,products!$A$1:$G$1,0))</f>
        <v>0.5</v>
      </c>
      <c r="L145" s="7">
        <f>INDEX(products!$A$1:$G$49,MATCH(orders!$D145,products!$A$1:$A$49,0),MATCH(L$1,products!$A$1:$G$1,0))</f>
        <v>8.73</v>
      </c>
      <c r="M145" s="7">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ID]],customers!$A$1:$A$1001,customers!$I$1:$I$1001,,0)</f>
        <v>No</v>
      </c>
    </row>
    <row r="146" spans="1:16" x14ac:dyDescent="0.35">
      <c r="A146" s="2" t="s">
        <v>1299</v>
      </c>
      <c r="B146" s="5">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6">
        <f>INDEX(products!$A$1:$G$49,MATCH(orders!$D146,products!$A$1:$A$49,0),MATCH(K$1,products!$A$1:$G$1,0))</f>
        <v>2.5</v>
      </c>
      <c r="L146" s="7">
        <f>INDEX(products!$A$1:$G$49,MATCH(orders!$D146,products!$A$1:$A$49,0),MATCH(L$1,products!$A$1:$G$1,0))</f>
        <v>34.154999999999994</v>
      </c>
      <c r="M146" s="7">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ID]],customers!$A$1:$A$1001,customers!$I$1:$I$1001,,0)</f>
        <v>Yes</v>
      </c>
    </row>
    <row r="147" spans="1:16" x14ac:dyDescent="0.35">
      <c r="A147" s="2" t="s">
        <v>1305</v>
      </c>
      <c r="B147" s="5">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6">
        <f>INDEX(products!$A$1:$G$49,MATCH(orders!$D147,products!$A$1:$A$49,0),MATCH(K$1,products!$A$1:$G$1,0))</f>
        <v>0.2</v>
      </c>
      <c r="L147" s="7">
        <f>INDEX(products!$A$1:$G$49,MATCH(orders!$D147,products!$A$1:$A$49,0),MATCH(L$1,products!$A$1:$G$1,0))</f>
        <v>4.3650000000000002</v>
      </c>
      <c r="M147" s="7">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ID]],customers!$A$1:$A$1001,customers!$I$1:$I$1001,,0)</f>
        <v>No</v>
      </c>
    </row>
    <row r="148" spans="1:16" x14ac:dyDescent="0.35">
      <c r="A148" s="2" t="s">
        <v>1311</v>
      </c>
      <c r="B148" s="5">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6">
        <f>INDEX(products!$A$1:$G$49,MATCH(orders!$D148,products!$A$1:$A$49,0),MATCH(K$1,products!$A$1:$G$1,0))</f>
        <v>1</v>
      </c>
      <c r="L148" s="7">
        <f>INDEX(products!$A$1:$G$49,MATCH(orders!$D148,products!$A$1:$A$49,0),MATCH(L$1,products!$A$1:$G$1,0))</f>
        <v>14.55</v>
      </c>
      <c r="M148" s="7">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ID]],customers!$A$1:$A$1001,customers!$I$1:$I$1001,,0)</f>
        <v>No</v>
      </c>
    </row>
    <row r="149" spans="1:16" x14ac:dyDescent="0.35">
      <c r="A149" s="2" t="s">
        <v>1311</v>
      </c>
      <c r="B149" s="5">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6">
        <f>INDEX(products!$A$1:$G$49,MATCH(orders!$D149,products!$A$1:$A$49,0),MATCH(K$1,products!$A$1:$G$1,0))</f>
        <v>1</v>
      </c>
      <c r="L149" s="7">
        <f>INDEX(products!$A$1:$G$49,MATCH(orders!$D149,products!$A$1:$A$49,0),MATCH(L$1,products!$A$1:$G$1,0))</f>
        <v>13.75</v>
      </c>
      <c r="M149" s="7">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ID]],customers!$A$1:$A$1001,customers!$I$1:$I$1001,,0)</f>
        <v>No</v>
      </c>
    </row>
    <row r="150" spans="1:16" x14ac:dyDescent="0.35">
      <c r="A150" s="2" t="s">
        <v>1322</v>
      </c>
      <c r="B150" s="5">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6">
        <f>INDEX(products!$A$1:$G$49,MATCH(orders!$D150,products!$A$1:$A$49,0),MATCH(K$1,products!$A$1:$G$1,0))</f>
        <v>0.2</v>
      </c>
      <c r="L150" s="7">
        <f>INDEX(products!$A$1:$G$49,MATCH(orders!$D150,products!$A$1:$A$49,0),MATCH(L$1,products!$A$1:$G$1,0))</f>
        <v>3.645</v>
      </c>
      <c r="M150" s="7">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ID]],customers!$A$1:$A$1001,customers!$I$1:$I$1001,,0)</f>
        <v>Yes</v>
      </c>
    </row>
    <row r="151" spans="1:16" x14ac:dyDescent="0.35">
      <c r="A151" s="2" t="s">
        <v>1328</v>
      </c>
      <c r="B151" s="5">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6">
        <f>INDEX(products!$A$1:$G$49,MATCH(orders!$D151,products!$A$1:$A$49,0),MATCH(K$1,products!$A$1:$G$1,0))</f>
        <v>2.5</v>
      </c>
      <c r="L151" s="7">
        <f>INDEX(products!$A$1:$G$49,MATCH(orders!$D151,products!$A$1:$A$49,0),MATCH(L$1,products!$A$1:$G$1,0))</f>
        <v>25.874999999999996</v>
      </c>
      <c r="M151" s="7">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ID]],customers!$A$1:$A$1001,customers!$I$1:$I$1001,,0)</f>
        <v>Yes</v>
      </c>
    </row>
    <row r="152" spans="1:16" x14ac:dyDescent="0.35">
      <c r="A152" s="2" t="s">
        <v>1333</v>
      </c>
      <c r="B152" s="5">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6">
        <f>INDEX(products!$A$1:$G$49,MATCH(orders!$D152,products!$A$1:$A$49,0),MATCH(K$1,products!$A$1:$G$1,0))</f>
        <v>1</v>
      </c>
      <c r="L152" s="7">
        <f>INDEX(products!$A$1:$G$49,MATCH(orders!$D152,products!$A$1:$A$49,0),MATCH(L$1,products!$A$1:$G$1,0))</f>
        <v>12.95</v>
      </c>
      <c r="M152" s="7">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ID]],customers!$A$1:$A$1001,customers!$I$1:$I$1001,,0)</f>
        <v>Yes</v>
      </c>
    </row>
    <row r="153" spans="1:16" x14ac:dyDescent="0.35">
      <c r="A153" s="2" t="s">
        <v>1339</v>
      </c>
      <c r="B153" s="5">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6">
        <f>INDEX(products!$A$1:$G$49,MATCH(orders!$D153,products!$A$1:$A$49,0),MATCH(K$1,products!$A$1:$G$1,0))</f>
        <v>1</v>
      </c>
      <c r="L153" s="7">
        <f>INDEX(products!$A$1:$G$49,MATCH(orders!$D153,products!$A$1:$A$49,0),MATCH(L$1,products!$A$1:$G$1,0))</f>
        <v>11.25</v>
      </c>
      <c r="M153" s="7">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ID]],customers!$A$1:$A$1001,customers!$I$1:$I$1001,,0)</f>
        <v>Yes</v>
      </c>
    </row>
    <row r="154" spans="1:16" x14ac:dyDescent="0.35">
      <c r="A154" s="2" t="s">
        <v>1344</v>
      </c>
      <c r="B154" s="5">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6">
        <f>INDEX(products!$A$1:$G$49,MATCH(orders!$D154,products!$A$1:$A$49,0),MATCH(K$1,products!$A$1:$G$1,0))</f>
        <v>2.5</v>
      </c>
      <c r="L154" s="7">
        <f>INDEX(products!$A$1:$G$49,MATCH(orders!$D154,products!$A$1:$A$49,0),MATCH(L$1,products!$A$1:$G$1,0))</f>
        <v>22.884999999999998</v>
      </c>
      <c r="M154" s="7">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ID]],customers!$A$1:$A$1001,customers!$I$1:$I$1001,,0)</f>
        <v>Yes</v>
      </c>
    </row>
    <row r="155" spans="1:16" x14ac:dyDescent="0.35">
      <c r="A155" s="2" t="s">
        <v>1350</v>
      </c>
      <c r="B155" s="5">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6">
        <f>INDEX(products!$A$1:$G$49,MATCH(orders!$D155,products!$A$1:$A$49,0),MATCH(K$1,products!$A$1:$G$1,0))</f>
        <v>0.2</v>
      </c>
      <c r="L155" s="7">
        <f>INDEX(products!$A$1:$G$49,MATCH(orders!$D155,products!$A$1:$A$49,0),MATCH(L$1,products!$A$1:$G$1,0))</f>
        <v>2.6849999999999996</v>
      </c>
      <c r="M155" s="7">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ID]],customers!$A$1:$A$1001,customers!$I$1:$I$1001,,0)</f>
        <v>No</v>
      </c>
    </row>
    <row r="156" spans="1:16" x14ac:dyDescent="0.35">
      <c r="A156" s="2" t="s">
        <v>1355</v>
      </c>
      <c r="B156" s="5">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6">
        <f>INDEX(products!$A$1:$G$49,MATCH(orders!$D156,products!$A$1:$A$49,0),MATCH(K$1,products!$A$1:$G$1,0))</f>
        <v>2.5</v>
      </c>
      <c r="L156" s="7">
        <f>INDEX(products!$A$1:$G$49,MATCH(orders!$D156,products!$A$1:$A$49,0),MATCH(L$1,products!$A$1:$G$1,0))</f>
        <v>22.884999999999998</v>
      </c>
      <c r="M156" s="7">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ID]],customers!$A$1:$A$1001,customers!$I$1:$I$1001,,0)</f>
        <v>No</v>
      </c>
    </row>
    <row r="157" spans="1:16" x14ac:dyDescent="0.35">
      <c r="A157" s="2" t="s">
        <v>1361</v>
      </c>
      <c r="B157" s="5">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6">
        <f>INDEX(products!$A$1:$G$49,MATCH(orders!$D157,products!$A$1:$A$49,0),MATCH(K$1,products!$A$1:$G$1,0))</f>
        <v>2.5</v>
      </c>
      <c r="L157" s="7">
        <f>INDEX(products!$A$1:$G$49,MATCH(orders!$D157,products!$A$1:$A$49,0),MATCH(L$1,products!$A$1:$G$1,0))</f>
        <v>25.874999999999996</v>
      </c>
      <c r="M157" s="7">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ID]],customers!$A$1:$A$1001,customers!$I$1:$I$1001,,0)</f>
        <v>Yes</v>
      </c>
    </row>
    <row r="158" spans="1:16" x14ac:dyDescent="0.35">
      <c r="A158" s="2" t="s">
        <v>1367</v>
      </c>
      <c r="B158" s="5">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6">
        <f>INDEX(products!$A$1:$G$49,MATCH(orders!$D158,products!$A$1:$A$49,0),MATCH(K$1,products!$A$1:$G$1,0))</f>
        <v>2.5</v>
      </c>
      <c r="L158" s="7">
        <f>INDEX(products!$A$1:$G$49,MATCH(orders!$D158,products!$A$1:$A$49,0),MATCH(L$1,products!$A$1:$G$1,0))</f>
        <v>25.874999999999996</v>
      </c>
      <c r="M158" s="7">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ID]],customers!$A$1:$A$1001,customers!$I$1:$I$1001,,0)</f>
        <v>Yes</v>
      </c>
    </row>
    <row r="159" spans="1:16" x14ac:dyDescent="0.35">
      <c r="A159" s="2" t="s">
        <v>1373</v>
      </c>
      <c r="B159" s="5">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6">
        <f>INDEX(products!$A$1:$G$49,MATCH(orders!$D159,products!$A$1:$A$49,0),MATCH(K$1,products!$A$1:$G$1,0))</f>
        <v>2.5</v>
      </c>
      <c r="L159" s="7">
        <f>INDEX(products!$A$1:$G$49,MATCH(orders!$D159,products!$A$1:$A$49,0),MATCH(L$1,products!$A$1:$G$1,0))</f>
        <v>20.584999999999997</v>
      </c>
      <c r="M159" s="7">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ID]],customers!$A$1:$A$1001,customers!$I$1:$I$1001,,0)</f>
        <v>No</v>
      </c>
    </row>
    <row r="160" spans="1:16" x14ac:dyDescent="0.35">
      <c r="A160" s="2" t="s">
        <v>1379</v>
      </c>
      <c r="B160" s="5">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6">
        <f>INDEX(products!$A$1:$G$49,MATCH(orders!$D160,products!$A$1:$A$49,0),MATCH(K$1,products!$A$1:$G$1,0))</f>
        <v>2.5</v>
      </c>
      <c r="L160" s="7">
        <f>INDEX(products!$A$1:$G$49,MATCH(orders!$D160,products!$A$1:$A$49,0),MATCH(L$1,products!$A$1:$G$1,0))</f>
        <v>20.584999999999997</v>
      </c>
      <c r="M160" s="7">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ID]],customers!$A$1:$A$1001,customers!$I$1:$I$1001,,0)</f>
        <v>Yes</v>
      </c>
    </row>
    <row r="161" spans="1:16" x14ac:dyDescent="0.35">
      <c r="A161" s="2" t="s">
        <v>1384</v>
      </c>
      <c r="B161" s="5">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6">
        <f>INDEX(products!$A$1:$G$49,MATCH(orders!$D161,products!$A$1:$A$49,0),MATCH(K$1,products!$A$1:$G$1,0))</f>
        <v>2.5</v>
      </c>
      <c r="L161" s="7">
        <f>INDEX(products!$A$1:$G$49,MATCH(orders!$D161,products!$A$1:$A$49,0),MATCH(L$1,products!$A$1:$G$1,0))</f>
        <v>36.454999999999998</v>
      </c>
      <c r="M161" s="7">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ID]],customers!$A$1:$A$1001,customers!$I$1:$I$1001,,0)</f>
        <v>No</v>
      </c>
    </row>
    <row r="162" spans="1:16" x14ac:dyDescent="0.35">
      <c r="A162" s="2" t="s">
        <v>1389</v>
      </c>
      <c r="B162" s="5">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6">
        <f>INDEX(products!$A$1:$G$49,MATCH(orders!$D162,products!$A$1:$A$49,0),MATCH(K$1,products!$A$1:$G$1,0))</f>
        <v>0.5</v>
      </c>
      <c r="L162" s="7">
        <f>INDEX(products!$A$1:$G$49,MATCH(orders!$D162,products!$A$1:$A$49,0),MATCH(L$1,products!$A$1:$G$1,0))</f>
        <v>8.25</v>
      </c>
      <c r="M162" s="7">
        <f t="shared" si="2"/>
        <v>33</v>
      </c>
      <c r="N162" t="str" cm="1">
        <f t="array" ref="N162">_xlfn.IFS(I162="Rob","Robusta",I162="Exc","Excelsa",I162="Ara","Arabica",I162="Lib","Liberica")</f>
        <v>Excelsa</v>
      </c>
      <c r="O162" t="str" cm="1">
        <f t="array" ref="O162">_xlfn.IFS(J162="M","Medium",J162="L","Light",J162="D","Dark")</f>
        <v>Medium</v>
      </c>
      <c r="P162" t="str">
        <f>_xlfn.XLOOKUP(Orders[[#This Row],[Customer ID]],customers!$A$1:$A$1001,customers!$I$1:$I$1001,,0)</f>
        <v>No</v>
      </c>
    </row>
    <row r="163" spans="1:16" x14ac:dyDescent="0.35">
      <c r="A163" s="2" t="s">
        <v>1395</v>
      </c>
      <c r="B163" s="5">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6">
        <f>INDEX(products!$A$1:$G$49,MATCH(orders!$D163,products!$A$1:$A$49,0),MATCH(K$1,products!$A$1:$G$1,0))</f>
        <v>0.5</v>
      </c>
      <c r="L163" s="7">
        <f>INDEX(products!$A$1:$G$49,MATCH(orders!$D163,products!$A$1:$A$49,0),MATCH(L$1,products!$A$1:$G$1,0))</f>
        <v>7.77</v>
      </c>
      <c r="M163" s="7">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ID]],customers!$A$1:$A$1001,customers!$I$1:$I$1001,,0)</f>
        <v>No</v>
      </c>
    </row>
    <row r="164" spans="1:16" x14ac:dyDescent="0.35">
      <c r="A164" s="2" t="s">
        <v>1401</v>
      </c>
      <c r="B164" s="5">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6">
        <f>INDEX(products!$A$1:$G$49,MATCH(orders!$D164,products!$A$1:$A$49,0),MATCH(K$1,products!$A$1:$G$1,0))</f>
        <v>0.5</v>
      </c>
      <c r="L164" s="7">
        <f>INDEX(products!$A$1:$G$49,MATCH(orders!$D164,products!$A$1:$A$49,0),MATCH(L$1,products!$A$1:$G$1,0))</f>
        <v>7.29</v>
      </c>
      <c r="M164" s="7">
        <f t="shared" si="2"/>
        <v>21.87</v>
      </c>
      <c r="N164" t="str" cm="1">
        <f t="array" ref="N164">_xlfn.IFS(I164="Rob","Robusta",I164="Exc","Excelsa",I164="Ara","Arabica",I164="Lib","Liberica")</f>
        <v>Excelsa</v>
      </c>
      <c r="O164" t="str" cm="1">
        <f t="array" ref="O164">_xlfn.IFS(J164="M","Medium",J164="L","Light",J164="D","Dark")</f>
        <v>Dark</v>
      </c>
      <c r="P164" t="str">
        <f>_xlfn.XLOOKUP(Orders[[#This Row],[Customer ID]],customers!$A$1:$A$1001,customers!$I$1:$I$1001,,0)</f>
        <v>Yes</v>
      </c>
    </row>
    <row r="165" spans="1:16" x14ac:dyDescent="0.35">
      <c r="A165" s="2" t="s">
        <v>1407</v>
      </c>
      <c r="B165" s="5">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6">
        <f>INDEX(products!$A$1:$G$49,MATCH(orders!$D165,products!$A$1:$A$49,0),MATCH(K$1,products!$A$1:$G$1,0))</f>
        <v>0.2</v>
      </c>
      <c r="L165" s="7">
        <f>INDEX(products!$A$1:$G$49,MATCH(orders!$D165,products!$A$1:$A$49,0),MATCH(L$1,products!$A$1:$G$1,0))</f>
        <v>2.6849999999999996</v>
      </c>
      <c r="M165" s="7">
        <f t="shared" si="2"/>
        <v>16.11</v>
      </c>
      <c r="N165" t="str" cm="1">
        <f t="array" ref="N165">_xlfn.IFS(I165="Rob","Robusta",I165="Exc","Excelsa",I165="Ara","Arabica",I165="Lib","Liberica")</f>
        <v>Robusta</v>
      </c>
      <c r="O165" t="str" cm="1">
        <f t="array" ref="O165">_xlfn.IFS(J165="M","Medium",J165="L","Light",J165="D","Dark")</f>
        <v>Dark</v>
      </c>
      <c r="P165" t="str">
        <f>_xlfn.XLOOKUP(Orders[[#This Row],[Customer ID]],customers!$A$1:$A$1001,customers!$I$1:$I$1001,,0)</f>
        <v>No</v>
      </c>
    </row>
    <row r="166" spans="1:16" x14ac:dyDescent="0.35">
      <c r="A166" s="2" t="s">
        <v>1413</v>
      </c>
      <c r="B166" s="5">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6">
        <f>INDEX(products!$A$1:$G$49,MATCH(orders!$D166,products!$A$1:$A$49,0),MATCH(K$1,products!$A$1:$G$1,0))</f>
        <v>0.5</v>
      </c>
      <c r="L166" s="7">
        <f>INDEX(products!$A$1:$G$49,MATCH(orders!$D166,products!$A$1:$A$49,0),MATCH(L$1,products!$A$1:$G$1,0))</f>
        <v>7.29</v>
      </c>
      <c r="M166" s="7">
        <f t="shared" si="2"/>
        <v>29.16</v>
      </c>
      <c r="N166" t="str" cm="1">
        <f t="array" ref="N166">_xlfn.IFS(I166="Rob","Robusta",I166="Exc","Excelsa",I166="Ara","Arabica",I166="Lib","Liberica")</f>
        <v>Excelsa</v>
      </c>
      <c r="O166" t="str" cm="1">
        <f t="array" ref="O166">_xlfn.IFS(J166="M","Medium",J166="L","Light",J166="D","Dark")</f>
        <v>Dark</v>
      </c>
      <c r="P166" t="str">
        <f>_xlfn.XLOOKUP(Orders[[#This Row],[Customer ID]],customers!$A$1:$A$1001,customers!$I$1:$I$1001,,0)</f>
        <v>No</v>
      </c>
    </row>
    <row r="167" spans="1:16" x14ac:dyDescent="0.35">
      <c r="A167" s="2" t="s">
        <v>1420</v>
      </c>
      <c r="B167" s="5">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6">
        <f>INDEX(products!$A$1:$G$49,MATCH(orders!$D167,products!$A$1:$A$49,0),MATCH(K$1,products!$A$1:$G$1,0))</f>
        <v>1</v>
      </c>
      <c r="L167" s="7">
        <f>INDEX(products!$A$1:$G$49,MATCH(orders!$D167,products!$A$1:$A$49,0),MATCH(L$1,products!$A$1:$G$1,0))</f>
        <v>8.9499999999999993</v>
      </c>
      <c r="M167" s="7">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ID]],customers!$A$1:$A$1001,customers!$I$1:$I$1001,,0)</f>
        <v>Yes</v>
      </c>
    </row>
    <row r="168" spans="1:16" x14ac:dyDescent="0.35">
      <c r="A168" s="2" t="s">
        <v>1425</v>
      </c>
      <c r="B168" s="5">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6">
        <f>INDEX(products!$A$1:$G$49,MATCH(orders!$D168,products!$A$1:$A$49,0),MATCH(K$1,products!$A$1:$G$1,0))</f>
        <v>0.5</v>
      </c>
      <c r="L168" s="7">
        <f>INDEX(products!$A$1:$G$49,MATCH(orders!$D168,products!$A$1:$A$49,0),MATCH(L$1,products!$A$1:$G$1,0))</f>
        <v>5.3699999999999992</v>
      </c>
      <c r="M168" s="7">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ID]],customers!$A$1:$A$1001,customers!$I$1:$I$1001,,0)</f>
        <v>Yes</v>
      </c>
    </row>
    <row r="169" spans="1:16" x14ac:dyDescent="0.35">
      <c r="A169" s="2" t="s">
        <v>1430</v>
      </c>
      <c r="B169" s="5">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6">
        <f>INDEX(products!$A$1:$G$49,MATCH(orders!$D169,products!$A$1:$A$49,0),MATCH(K$1,products!$A$1:$G$1,0))</f>
        <v>0.5</v>
      </c>
      <c r="L169" s="7">
        <f>INDEX(products!$A$1:$G$49,MATCH(orders!$D169,products!$A$1:$A$49,0),MATCH(L$1,products!$A$1:$G$1,0))</f>
        <v>8.25</v>
      </c>
      <c r="M169" s="7">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ID]],customers!$A$1:$A$1001,customers!$I$1:$I$1001,,0)</f>
        <v>Yes</v>
      </c>
    </row>
    <row r="170" spans="1:16" x14ac:dyDescent="0.35">
      <c r="A170" s="2" t="s">
        <v>1436</v>
      </c>
      <c r="B170" s="5">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6">
        <f>INDEX(products!$A$1:$G$49,MATCH(orders!$D170,products!$A$1:$A$49,0),MATCH(K$1,products!$A$1:$G$1,0))</f>
        <v>0.5</v>
      </c>
      <c r="L170" s="7">
        <f>INDEX(products!$A$1:$G$49,MATCH(orders!$D170,products!$A$1:$A$49,0),MATCH(L$1,products!$A$1:$G$1,0))</f>
        <v>6.75</v>
      </c>
      <c r="M170" s="7">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ID]],customers!$A$1:$A$1001,customers!$I$1:$I$1001,,0)</f>
        <v>No</v>
      </c>
    </row>
    <row r="171" spans="1:16" x14ac:dyDescent="0.35">
      <c r="A171" s="2" t="s">
        <v>1441</v>
      </c>
      <c r="B171" s="5">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6">
        <f>INDEX(products!$A$1:$G$49,MATCH(orders!$D171,products!$A$1:$A$49,0),MATCH(K$1,products!$A$1:$G$1,0))</f>
        <v>1</v>
      </c>
      <c r="L171" s="7">
        <f>INDEX(products!$A$1:$G$49,MATCH(orders!$D171,products!$A$1:$A$49,0),MATCH(L$1,products!$A$1:$G$1,0))</f>
        <v>8.9499999999999993</v>
      </c>
      <c r="M171" s="7">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ID]],customers!$A$1:$A$1001,customers!$I$1:$I$1001,,0)</f>
        <v>No</v>
      </c>
    </row>
    <row r="172" spans="1:16" x14ac:dyDescent="0.35">
      <c r="A172" s="2" t="s">
        <v>1448</v>
      </c>
      <c r="B172" s="5">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6">
        <f>INDEX(products!$A$1:$G$49,MATCH(orders!$D172,products!$A$1:$A$49,0),MATCH(K$1,products!$A$1:$G$1,0))</f>
        <v>2.5</v>
      </c>
      <c r="L172" s="7">
        <f>INDEX(products!$A$1:$G$49,MATCH(orders!$D172,products!$A$1:$A$49,0),MATCH(L$1,products!$A$1:$G$1,0))</f>
        <v>34.154999999999994</v>
      </c>
      <c r="M172" s="7">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ID]],customers!$A$1:$A$1001,customers!$I$1:$I$1001,,0)</f>
        <v>No</v>
      </c>
    </row>
    <row r="173" spans="1:16" x14ac:dyDescent="0.35">
      <c r="A173" s="2" t="s">
        <v>1453</v>
      </c>
      <c r="B173" s="5">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6">
        <f>INDEX(products!$A$1:$G$49,MATCH(orders!$D173,products!$A$1:$A$49,0),MATCH(K$1,products!$A$1:$G$1,0))</f>
        <v>2.5</v>
      </c>
      <c r="L173" s="7">
        <f>INDEX(products!$A$1:$G$49,MATCH(orders!$D173,products!$A$1:$A$49,0),MATCH(L$1,products!$A$1:$G$1,0))</f>
        <v>31.624999999999996</v>
      </c>
      <c r="M173" s="7">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ID]],customers!$A$1:$A$1001,customers!$I$1:$I$1001,,0)</f>
        <v>Yes</v>
      </c>
    </row>
    <row r="174" spans="1:16" x14ac:dyDescent="0.35">
      <c r="A174" s="2" t="s">
        <v>1459</v>
      </c>
      <c r="B174" s="5">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6">
        <f>INDEX(products!$A$1:$G$49,MATCH(orders!$D174,products!$A$1:$A$49,0),MATCH(K$1,products!$A$1:$G$1,0))</f>
        <v>0.5</v>
      </c>
      <c r="L174" s="7">
        <f>INDEX(products!$A$1:$G$49,MATCH(orders!$D174,products!$A$1:$A$49,0),MATCH(L$1,products!$A$1:$G$1,0))</f>
        <v>7.29</v>
      </c>
      <c r="M174" s="7">
        <f t="shared" si="2"/>
        <v>21.87</v>
      </c>
      <c r="N174" t="str" cm="1">
        <f t="array" ref="N174">_xlfn.IFS(I174="Rob","Robusta",I174="Exc","Excelsa",I174="Ara","Arabica",I174="Lib","Liberica")</f>
        <v>Excelsa</v>
      </c>
      <c r="O174" t="str" cm="1">
        <f t="array" ref="O174">_xlfn.IFS(J174="M","Medium",J174="L","Light",J174="D","Dark")</f>
        <v>Dark</v>
      </c>
      <c r="P174" t="str">
        <f>_xlfn.XLOOKUP(Orders[[#This Row],[Customer ID]],customers!$A$1:$A$1001,customers!$I$1:$I$1001,,0)</f>
        <v>No</v>
      </c>
    </row>
    <row r="175" spans="1:16" x14ac:dyDescent="0.35">
      <c r="A175" s="2" t="s">
        <v>1464</v>
      </c>
      <c r="B175" s="5">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6">
        <f>INDEX(products!$A$1:$G$49,MATCH(orders!$D175,products!$A$1:$A$49,0),MATCH(K$1,products!$A$1:$G$1,0))</f>
        <v>2.5</v>
      </c>
      <c r="L175" s="7">
        <f>INDEX(products!$A$1:$G$49,MATCH(orders!$D175,products!$A$1:$A$49,0),MATCH(L$1,products!$A$1:$G$1,0))</f>
        <v>22.884999999999998</v>
      </c>
      <c r="M175" s="7">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ID]],customers!$A$1:$A$1001,customers!$I$1:$I$1001,,0)</f>
        <v>No</v>
      </c>
    </row>
    <row r="176" spans="1:16" x14ac:dyDescent="0.35">
      <c r="A176" s="2" t="s">
        <v>1470</v>
      </c>
      <c r="B176" s="5">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6">
        <f>INDEX(products!$A$1:$G$49,MATCH(orders!$D176,products!$A$1:$A$49,0),MATCH(K$1,products!$A$1:$G$1,0))</f>
        <v>2.5</v>
      </c>
      <c r="L176" s="7">
        <f>INDEX(products!$A$1:$G$49,MATCH(orders!$D176,products!$A$1:$A$49,0),MATCH(L$1,products!$A$1:$G$1,0))</f>
        <v>34.154999999999994</v>
      </c>
      <c r="M176" s="7">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ID]],customers!$A$1:$A$1001,customers!$I$1:$I$1001,,0)</f>
        <v>Yes</v>
      </c>
    </row>
    <row r="177" spans="1:16" x14ac:dyDescent="0.35">
      <c r="A177" s="2" t="s">
        <v>1475</v>
      </c>
      <c r="B177" s="5">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6">
        <f>INDEX(products!$A$1:$G$49,MATCH(orders!$D177,products!$A$1:$A$49,0),MATCH(K$1,products!$A$1:$G$1,0))</f>
        <v>2.5</v>
      </c>
      <c r="L177" s="7">
        <f>INDEX(products!$A$1:$G$49,MATCH(orders!$D177,products!$A$1:$A$49,0),MATCH(L$1,products!$A$1:$G$1,0))</f>
        <v>31.624999999999996</v>
      </c>
      <c r="M177" s="7">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ID]],customers!$A$1:$A$1001,customers!$I$1:$I$1001,,0)</f>
        <v>Yes</v>
      </c>
    </row>
    <row r="178" spans="1:16" x14ac:dyDescent="0.35">
      <c r="A178" s="2" t="s">
        <v>1481</v>
      </c>
      <c r="B178" s="5">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6">
        <f>INDEX(products!$A$1:$G$49,MATCH(orders!$D178,products!$A$1:$A$49,0),MATCH(K$1,products!$A$1:$G$1,0))</f>
        <v>2.5</v>
      </c>
      <c r="L178" s="7">
        <f>INDEX(products!$A$1:$G$49,MATCH(orders!$D178,products!$A$1:$A$49,0),MATCH(L$1,products!$A$1:$G$1,0))</f>
        <v>34.154999999999994</v>
      </c>
      <c r="M178" s="7">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ID]],customers!$A$1:$A$1001,customers!$I$1:$I$1001,,0)</f>
        <v>Yes</v>
      </c>
    </row>
    <row r="179" spans="1:16" x14ac:dyDescent="0.35">
      <c r="A179" s="2" t="s">
        <v>1487</v>
      </c>
      <c r="B179" s="5">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6">
        <f>INDEX(products!$A$1:$G$49,MATCH(orders!$D179,products!$A$1:$A$49,0),MATCH(K$1,products!$A$1:$G$1,0))</f>
        <v>2.5</v>
      </c>
      <c r="L179" s="7">
        <f>INDEX(products!$A$1:$G$49,MATCH(orders!$D179,products!$A$1:$A$49,0),MATCH(L$1,products!$A$1:$G$1,0))</f>
        <v>27.484999999999996</v>
      </c>
      <c r="M179" s="7">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ID]],customers!$A$1:$A$1001,customers!$I$1:$I$1001,,0)</f>
        <v>Yes</v>
      </c>
    </row>
    <row r="180" spans="1:16" x14ac:dyDescent="0.35">
      <c r="A180" s="2" t="s">
        <v>1492</v>
      </c>
      <c r="B180" s="5">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6">
        <f>INDEX(products!$A$1:$G$49,MATCH(orders!$D180,products!$A$1:$A$49,0),MATCH(K$1,products!$A$1:$G$1,0))</f>
        <v>1</v>
      </c>
      <c r="L180" s="7">
        <f>INDEX(products!$A$1:$G$49,MATCH(orders!$D180,products!$A$1:$A$49,0),MATCH(L$1,products!$A$1:$G$1,0))</f>
        <v>12.95</v>
      </c>
      <c r="M180" s="7">
        <f t="shared" si="2"/>
        <v>25.9</v>
      </c>
      <c r="N180" t="str" cm="1">
        <f t="array" ref="N180">_xlfn.IFS(I180="Rob","Robusta",I180="Exc","Excelsa",I180="Ara","Arabica",I180="Lib","Liberica")</f>
        <v>Arabica</v>
      </c>
      <c r="O180" t="str" cm="1">
        <f t="array" ref="O180">_xlfn.IFS(J180="M","Medium",J180="L","Light",J180="D","Dark")</f>
        <v>Light</v>
      </c>
      <c r="P180" t="str">
        <f>_xlfn.XLOOKUP(Orders[[#This Row],[Customer ID]],customers!$A$1:$A$1001,customers!$I$1:$I$1001,,0)</f>
        <v>No</v>
      </c>
    </row>
    <row r="181" spans="1:16" x14ac:dyDescent="0.35">
      <c r="A181" s="2" t="s">
        <v>1498</v>
      </c>
      <c r="B181" s="5">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6">
        <f>INDEX(products!$A$1:$G$49,MATCH(orders!$D181,products!$A$1:$A$49,0),MATCH(K$1,products!$A$1:$G$1,0))</f>
        <v>0.2</v>
      </c>
      <c r="L181" s="7">
        <f>INDEX(products!$A$1:$G$49,MATCH(orders!$D181,products!$A$1:$A$49,0),MATCH(L$1,products!$A$1:$G$1,0))</f>
        <v>2.9849999999999999</v>
      </c>
      <c r="M181" s="7">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ID]],customers!$A$1:$A$1001,customers!$I$1:$I$1001,,0)</f>
        <v>No</v>
      </c>
    </row>
    <row r="182" spans="1:16" x14ac:dyDescent="0.35">
      <c r="A182" s="2" t="s">
        <v>1503</v>
      </c>
      <c r="B182" s="5">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6">
        <f>INDEX(products!$A$1:$G$49,MATCH(orders!$D182,products!$A$1:$A$49,0),MATCH(K$1,products!$A$1:$G$1,0))</f>
        <v>0.2</v>
      </c>
      <c r="L182" s="7">
        <f>INDEX(products!$A$1:$G$49,MATCH(orders!$D182,products!$A$1:$A$49,0),MATCH(L$1,products!$A$1:$G$1,0))</f>
        <v>4.4550000000000001</v>
      </c>
      <c r="M182" s="7">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ID]],customers!$A$1:$A$1001,customers!$I$1:$I$1001,,0)</f>
        <v>No</v>
      </c>
    </row>
    <row r="183" spans="1:16" x14ac:dyDescent="0.35">
      <c r="A183" s="2" t="s">
        <v>1503</v>
      </c>
      <c r="B183" s="5">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6">
        <f>INDEX(products!$A$1:$G$49,MATCH(orders!$D183,products!$A$1:$A$49,0),MATCH(K$1,products!$A$1:$G$1,0))</f>
        <v>0.5</v>
      </c>
      <c r="L183" s="7">
        <f>INDEX(products!$A$1:$G$49,MATCH(orders!$D183,products!$A$1:$A$49,0),MATCH(L$1,products!$A$1:$G$1,0))</f>
        <v>5.97</v>
      </c>
      <c r="M183" s="7">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ID]],customers!$A$1:$A$1001,customers!$I$1:$I$1001,,0)</f>
        <v>No</v>
      </c>
    </row>
    <row r="184" spans="1:16" x14ac:dyDescent="0.35">
      <c r="A184" s="2" t="s">
        <v>1514</v>
      </c>
      <c r="B184" s="5">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6">
        <f>INDEX(products!$A$1:$G$49,MATCH(orders!$D184,products!$A$1:$A$49,0),MATCH(K$1,products!$A$1:$G$1,0))</f>
        <v>0.5</v>
      </c>
      <c r="L184" s="7">
        <f>INDEX(products!$A$1:$G$49,MATCH(orders!$D184,products!$A$1:$A$49,0),MATCH(L$1,products!$A$1:$G$1,0))</f>
        <v>5.3699999999999992</v>
      </c>
      <c r="M184" s="7">
        <f t="shared" si="2"/>
        <v>32.22</v>
      </c>
      <c r="N184" t="str" cm="1">
        <f t="array" ref="N184">_xlfn.IFS(I184="Rob","Robusta",I184="Exc","Excelsa",I184="Ara","Arabica",I184="Lib","Liberica")</f>
        <v>Robusta</v>
      </c>
      <c r="O184" t="str" cm="1">
        <f t="array" ref="O184">_xlfn.IFS(J184="M","Medium",J184="L","Light",J184="D","Dark")</f>
        <v>Dark</v>
      </c>
      <c r="P184" t="str">
        <f>_xlfn.XLOOKUP(Orders[[#This Row],[Customer ID]],customers!$A$1:$A$1001,customers!$I$1:$I$1001,,0)</f>
        <v>No</v>
      </c>
    </row>
    <row r="185" spans="1:16" x14ac:dyDescent="0.35">
      <c r="A185" s="2" t="s">
        <v>1520</v>
      </c>
      <c r="B185" s="5">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6">
        <f>INDEX(products!$A$1:$G$49,MATCH(orders!$D185,products!$A$1:$A$49,0),MATCH(K$1,products!$A$1:$G$1,0))</f>
        <v>0.2</v>
      </c>
      <c r="L185" s="7">
        <f>INDEX(products!$A$1:$G$49,MATCH(orders!$D185,products!$A$1:$A$49,0),MATCH(L$1,products!$A$1:$G$1,0))</f>
        <v>4.125</v>
      </c>
      <c r="M185" s="7">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ID]],customers!$A$1:$A$1001,customers!$I$1:$I$1001,,0)</f>
        <v>No</v>
      </c>
    </row>
    <row r="186" spans="1:16" x14ac:dyDescent="0.35">
      <c r="A186" s="2" t="s">
        <v>1526</v>
      </c>
      <c r="B186" s="5">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6">
        <f>INDEX(products!$A$1:$G$49,MATCH(orders!$D186,products!$A$1:$A$49,0),MATCH(K$1,products!$A$1:$G$1,0))</f>
        <v>0.5</v>
      </c>
      <c r="L186" s="7">
        <f>INDEX(products!$A$1:$G$49,MATCH(orders!$D186,products!$A$1:$A$49,0),MATCH(L$1,products!$A$1:$G$1,0))</f>
        <v>7.77</v>
      </c>
      <c r="M186" s="7">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ID]],customers!$A$1:$A$1001,customers!$I$1:$I$1001,,0)</f>
        <v>No</v>
      </c>
    </row>
    <row r="187" spans="1:16" x14ac:dyDescent="0.35">
      <c r="A187" s="2" t="s">
        <v>1532</v>
      </c>
      <c r="B187" s="5">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6">
        <f>INDEX(products!$A$1:$G$49,MATCH(orders!$D187,products!$A$1:$A$49,0),MATCH(K$1,products!$A$1:$G$1,0))</f>
        <v>0.5</v>
      </c>
      <c r="L187" s="7">
        <f>INDEX(products!$A$1:$G$49,MATCH(orders!$D187,products!$A$1:$A$49,0),MATCH(L$1,products!$A$1:$G$1,0))</f>
        <v>7.29</v>
      </c>
      <c r="M187" s="7">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ID]],customers!$A$1:$A$1001,customers!$I$1:$I$1001,,0)</f>
        <v>Yes</v>
      </c>
    </row>
    <row r="188" spans="1:16" x14ac:dyDescent="0.35">
      <c r="A188" s="2" t="s">
        <v>1538</v>
      </c>
      <c r="B188" s="5">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6">
        <f>INDEX(products!$A$1:$G$49,MATCH(orders!$D188,products!$A$1:$A$49,0),MATCH(K$1,products!$A$1:$G$1,0))</f>
        <v>2.5</v>
      </c>
      <c r="L188" s="7">
        <f>INDEX(products!$A$1:$G$49,MATCH(orders!$D188,products!$A$1:$A$49,0),MATCH(L$1,products!$A$1:$G$1,0))</f>
        <v>22.884999999999998</v>
      </c>
      <c r="M188" s="7">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ID]],customers!$A$1:$A$1001,customers!$I$1:$I$1001,,0)</f>
        <v>No</v>
      </c>
    </row>
    <row r="189" spans="1:16" x14ac:dyDescent="0.35">
      <c r="A189" s="2" t="s">
        <v>1544</v>
      </c>
      <c r="B189" s="5">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6">
        <f>INDEX(products!$A$1:$G$49,MATCH(orders!$D189,products!$A$1:$A$49,0),MATCH(K$1,products!$A$1:$G$1,0))</f>
        <v>0.5</v>
      </c>
      <c r="L189" s="7">
        <f>INDEX(products!$A$1:$G$49,MATCH(orders!$D189,products!$A$1:$A$49,0),MATCH(L$1,products!$A$1:$G$1,0))</f>
        <v>8.73</v>
      </c>
      <c r="M189" s="7">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ID]],customers!$A$1:$A$1001,customers!$I$1:$I$1001,,0)</f>
        <v>Yes</v>
      </c>
    </row>
    <row r="190" spans="1:16" x14ac:dyDescent="0.35">
      <c r="A190" s="2" t="s">
        <v>1549</v>
      </c>
      <c r="B190" s="5">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6">
        <f>INDEX(products!$A$1:$G$49,MATCH(orders!$D190,products!$A$1:$A$49,0),MATCH(K$1,products!$A$1:$G$1,0))</f>
        <v>0.2</v>
      </c>
      <c r="L190" s="7">
        <f>INDEX(products!$A$1:$G$49,MATCH(orders!$D190,products!$A$1:$A$49,0),MATCH(L$1,products!$A$1:$G$1,0))</f>
        <v>4.4550000000000001</v>
      </c>
      <c r="M190" s="7">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ID]],customers!$A$1:$A$1001,customers!$I$1:$I$1001,,0)</f>
        <v>Yes</v>
      </c>
    </row>
    <row r="191" spans="1:16" x14ac:dyDescent="0.35">
      <c r="A191" s="2" t="s">
        <v>1555</v>
      </c>
      <c r="B191" s="5">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6">
        <f>INDEX(products!$A$1:$G$49,MATCH(orders!$D191,products!$A$1:$A$49,0),MATCH(K$1,products!$A$1:$G$1,0))</f>
        <v>1</v>
      </c>
      <c r="L191" s="7">
        <f>INDEX(products!$A$1:$G$49,MATCH(orders!$D191,products!$A$1:$A$49,0),MATCH(L$1,products!$A$1:$G$1,0))</f>
        <v>14.55</v>
      </c>
      <c r="M191" s="7">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ID]],customers!$A$1:$A$1001,customers!$I$1:$I$1001,,0)</f>
        <v>Yes</v>
      </c>
    </row>
    <row r="192" spans="1:16" x14ac:dyDescent="0.35">
      <c r="A192" s="2" t="s">
        <v>1561</v>
      </c>
      <c r="B192" s="5">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6">
        <f>INDEX(products!$A$1:$G$49,MATCH(orders!$D192,products!$A$1:$A$49,0),MATCH(K$1,products!$A$1:$G$1,0))</f>
        <v>2.5</v>
      </c>
      <c r="L192" s="7">
        <f>INDEX(products!$A$1:$G$49,MATCH(orders!$D192,products!$A$1:$A$49,0),MATCH(L$1,products!$A$1:$G$1,0))</f>
        <v>33.464999999999996</v>
      </c>
      <c r="M192" s="7">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ID]],customers!$A$1:$A$1001,customers!$I$1:$I$1001,,0)</f>
        <v>Yes</v>
      </c>
    </row>
    <row r="193" spans="1:16" x14ac:dyDescent="0.35">
      <c r="A193" s="2" t="s">
        <v>1567</v>
      </c>
      <c r="B193" s="5">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6">
        <f>INDEX(products!$A$1:$G$49,MATCH(orders!$D193,products!$A$1:$A$49,0),MATCH(K$1,products!$A$1:$G$1,0))</f>
        <v>0.2</v>
      </c>
      <c r="L193" s="7">
        <f>INDEX(products!$A$1:$G$49,MATCH(orders!$D193,products!$A$1:$A$49,0),MATCH(L$1,products!$A$1:$G$1,0))</f>
        <v>3.8849999999999998</v>
      </c>
      <c r="M193" s="7">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ID]],customers!$A$1:$A$1001,customers!$I$1:$I$1001,,0)</f>
        <v>Yes</v>
      </c>
    </row>
    <row r="194" spans="1:16" x14ac:dyDescent="0.35">
      <c r="A194" s="2" t="s">
        <v>1573</v>
      </c>
      <c r="B194" s="5">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6">
        <f>INDEX(products!$A$1:$G$49,MATCH(orders!$D194,products!$A$1:$A$49,0),MATCH(K$1,products!$A$1:$G$1,0))</f>
        <v>1</v>
      </c>
      <c r="L194" s="7">
        <f>INDEX(products!$A$1:$G$49,MATCH(orders!$D194,products!$A$1:$A$49,0),MATCH(L$1,products!$A$1:$G$1,0))</f>
        <v>12.15</v>
      </c>
      <c r="M194" s="7">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ID]],customers!$A$1:$A$1001,customers!$I$1:$I$1001,,0)</f>
        <v>Yes</v>
      </c>
    </row>
    <row r="195" spans="1:16" x14ac:dyDescent="0.35">
      <c r="A195" s="2" t="s">
        <v>1579</v>
      </c>
      <c r="B195" s="5">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6">
        <f>INDEX(products!$A$1:$G$49,MATCH(orders!$D195,products!$A$1:$A$49,0),MATCH(K$1,products!$A$1:$G$1,0))</f>
        <v>1</v>
      </c>
      <c r="L195" s="7">
        <f>INDEX(products!$A$1:$G$49,MATCH(orders!$D195,products!$A$1:$A$49,0),MATCH(L$1,products!$A$1:$G$1,0))</f>
        <v>14.85</v>
      </c>
      <c r="M195" s="7">
        <f t="shared" ref="M195:M258" si="3">PRODUCT(L195,E195)</f>
        <v>44.55</v>
      </c>
      <c r="N195" t="str" cm="1">
        <f t="array" ref="N195">_xlfn.IFS(I195="Rob","Robusta",I195="Exc","Excelsa",I195="Ara","Arabica",I195="Lib","Liberica")</f>
        <v>Excelsa</v>
      </c>
      <c r="O195" t="str" cm="1">
        <f t="array" ref="O195">_xlfn.IFS(J195="M","Medium",J195="L","Light",J195="D","Dark")</f>
        <v>Light</v>
      </c>
      <c r="P195" t="str">
        <f>_xlfn.XLOOKUP(Orders[[#This Row],[Customer ID]],customers!$A$1:$A$1001,customers!$I$1:$I$1001,,0)</f>
        <v>No</v>
      </c>
    </row>
    <row r="196" spans="1:16" x14ac:dyDescent="0.35">
      <c r="A196" s="2" t="s">
        <v>1584</v>
      </c>
      <c r="B196" s="5">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6">
        <f>INDEX(products!$A$1:$G$49,MATCH(orders!$D196,products!$A$1:$A$49,0),MATCH(K$1,products!$A$1:$G$1,0))</f>
        <v>0.5</v>
      </c>
      <c r="L196" s="7">
        <f>INDEX(products!$A$1:$G$49,MATCH(orders!$D196,products!$A$1:$A$49,0),MATCH(L$1,products!$A$1:$G$1,0))</f>
        <v>7.29</v>
      </c>
      <c r="M196" s="7">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ID]],customers!$A$1:$A$1001,customers!$I$1:$I$1001,,0)</f>
        <v>No</v>
      </c>
    </row>
    <row r="197" spans="1:16" x14ac:dyDescent="0.35">
      <c r="A197" s="2" t="s">
        <v>1590</v>
      </c>
      <c r="B197" s="5">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6">
        <f>INDEX(products!$A$1:$G$49,MATCH(orders!$D197,products!$A$1:$A$49,0),MATCH(K$1,products!$A$1:$G$1,0))</f>
        <v>1</v>
      </c>
      <c r="L197" s="7">
        <f>INDEX(products!$A$1:$G$49,MATCH(orders!$D197,products!$A$1:$A$49,0),MATCH(L$1,products!$A$1:$G$1,0))</f>
        <v>12.95</v>
      </c>
      <c r="M197" s="7">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ID]],customers!$A$1:$A$1001,customers!$I$1:$I$1001,,0)</f>
        <v>No</v>
      </c>
    </row>
    <row r="198" spans="1:16" x14ac:dyDescent="0.35">
      <c r="A198" s="2" t="s">
        <v>1596</v>
      </c>
      <c r="B198" s="5">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6">
        <f>INDEX(products!$A$1:$G$49,MATCH(orders!$D198,products!$A$1:$A$49,0),MATCH(K$1,products!$A$1:$G$1,0))</f>
        <v>0.5</v>
      </c>
      <c r="L198" s="7">
        <f>INDEX(products!$A$1:$G$49,MATCH(orders!$D198,products!$A$1:$A$49,0),MATCH(L$1,products!$A$1:$G$1,0))</f>
        <v>8.91</v>
      </c>
      <c r="M198" s="7">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ID]],customers!$A$1:$A$1001,customers!$I$1:$I$1001,,0)</f>
        <v>No</v>
      </c>
    </row>
    <row r="199" spans="1:16" x14ac:dyDescent="0.35">
      <c r="A199" s="2" t="s">
        <v>1596</v>
      </c>
      <c r="B199" s="5">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6">
        <f>INDEX(products!$A$1:$G$49,MATCH(orders!$D199,products!$A$1:$A$49,0),MATCH(K$1,products!$A$1:$G$1,0))</f>
        <v>2.5</v>
      </c>
      <c r="L199" s="7">
        <f>INDEX(products!$A$1:$G$49,MATCH(orders!$D199,products!$A$1:$A$49,0),MATCH(L$1,products!$A$1:$G$1,0))</f>
        <v>29.784999999999997</v>
      </c>
      <c r="M199" s="7">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ID]],customers!$A$1:$A$1001,customers!$I$1:$I$1001,,0)</f>
        <v>No</v>
      </c>
    </row>
    <row r="200" spans="1:16" x14ac:dyDescent="0.35">
      <c r="A200" s="2" t="s">
        <v>1596</v>
      </c>
      <c r="B200" s="5">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6">
        <f>INDEX(products!$A$1:$G$49,MATCH(orders!$D200,products!$A$1:$A$49,0),MATCH(K$1,products!$A$1:$G$1,0))</f>
        <v>2.5</v>
      </c>
      <c r="L200" s="7">
        <f>INDEX(products!$A$1:$G$49,MATCH(orders!$D200,products!$A$1:$A$49,0),MATCH(L$1,products!$A$1:$G$1,0))</f>
        <v>29.784999999999997</v>
      </c>
      <c r="M200" s="7">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ID]],customers!$A$1:$A$1001,customers!$I$1:$I$1001,,0)</f>
        <v>No</v>
      </c>
    </row>
    <row r="201" spans="1:16" x14ac:dyDescent="0.35">
      <c r="A201" s="2" t="s">
        <v>1596</v>
      </c>
      <c r="B201" s="5">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6">
        <f>INDEX(products!$A$1:$G$49,MATCH(orders!$D201,products!$A$1:$A$49,0),MATCH(K$1,products!$A$1:$G$1,0))</f>
        <v>0.5</v>
      </c>
      <c r="L201" s="7">
        <f>INDEX(products!$A$1:$G$49,MATCH(orders!$D201,products!$A$1:$A$49,0),MATCH(L$1,products!$A$1:$G$1,0))</f>
        <v>9.51</v>
      </c>
      <c r="M201" s="7">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ID]],customers!$A$1:$A$1001,customers!$I$1:$I$1001,,0)</f>
        <v>No</v>
      </c>
    </row>
    <row r="202" spans="1:16" x14ac:dyDescent="0.35">
      <c r="A202" s="2" t="s">
        <v>1596</v>
      </c>
      <c r="B202" s="5">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6">
        <f>INDEX(products!$A$1:$G$49,MATCH(orders!$D202,products!$A$1:$A$49,0),MATCH(K$1,products!$A$1:$G$1,0))</f>
        <v>1</v>
      </c>
      <c r="L202" s="7">
        <f>INDEX(products!$A$1:$G$49,MATCH(orders!$D202,products!$A$1:$A$49,0),MATCH(L$1,products!$A$1:$G$1,0))</f>
        <v>13.75</v>
      </c>
      <c r="M202" s="7">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ID]],customers!$A$1:$A$1001,customers!$I$1:$I$1001,,0)</f>
        <v>No</v>
      </c>
    </row>
    <row r="203" spans="1:16" x14ac:dyDescent="0.35">
      <c r="A203" s="2" t="s">
        <v>1621</v>
      </c>
      <c r="B203" s="5">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6">
        <f>INDEX(products!$A$1:$G$49,MATCH(orders!$D203,products!$A$1:$A$49,0),MATCH(K$1,products!$A$1:$G$1,0))</f>
        <v>0.5</v>
      </c>
      <c r="L203" s="7">
        <f>INDEX(products!$A$1:$G$49,MATCH(orders!$D203,products!$A$1:$A$49,0),MATCH(L$1,products!$A$1:$G$1,0))</f>
        <v>9.51</v>
      </c>
      <c r="M203" s="7">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ID]],customers!$A$1:$A$1001,customers!$I$1:$I$1001,,0)</f>
        <v>No</v>
      </c>
    </row>
    <row r="204" spans="1:16" x14ac:dyDescent="0.35">
      <c r="A204" s="2" t="s">
        <v>1626</v>
      </c>
      <c r="B204" s="5">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6">
        <f>INDEX(products!$A$1:$G$49,MATCH(orders!$D204,products!$A$1:$A$49,0),MATCH(K$1,products!$A$1:$G$1,0))</f>
        <v>2.5</v>
      </c>
      <c r="L204" s="7">
        <f>INDEX(products!$A$1:$G$49,MATCH(orders!$D204,products!$A$1:$A$49,0),MATCH(L$1,products!$A$1:$G$1,0))</f>
        <v>29.784999999999997</v>
      </c>
      <c r="M204" s="7">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ID]],customers!$A$1:$A$1001,customers!$I$1:$I$1001,,0)</f>
        <v>Yes</v>
      </c>
    </row>
    <row r="205" spans="1:16" x14ac:dyDescent="0.35">
      <c r="A205" s="2" t="s">
        <v>1632</v>
      </c>
      <c r="B205" s="5">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6">
        <f>INDEX(products!$A$1:$G$49,MATCH(orders!$D205,products!$A$1:$A$49,0),MATCH(K$1,products!$A$1:$G$1,0))</f>
        <v>0.2</v>
      </c>
      <c r="L205" s="7">
        <f>INDEX(products!$A$1:$G$49,MATCH(orders!$D205,products!$A$1:$A$49,0),MATCH(L$1,products!$A$1:$G$1,0))</f>
        <v>4.7549999999999999</v>
      </c>
      <c r="M205" s="7">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ID]],customers!$A$1:$A$1001,customers!$I$1:$I$1001,,0)</f>
        <v>No</v>
      </c>
    </row>
    <row r="206" spans="1:16" x14ac:dyDescent="0.35">
      <c r="A206" s="2" t="s">
        <v>1638</v>
      </c>
      <c r="B206" s="5">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6">
        <f>INDEX(products!$A$1:$G$49,MATCH(orders!$D206,products!$A$1:$A$49,0),MATCH(K$1,products!$A$1:$G$1,0))</f>
        <v>1</v>
      </c>
      <c r="L206" s="7">
        <f>INDEX(products!$A$1:$G$49,MATCH(orders!$D206,products!$A$1:$A$49,0),MATCH(L$1,products!$A$1:$G$1,0))</f>
        <v>13.75</v>
      </c>
      <c r="M206" s="7">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ID]],customers!$A$1:$A$1001,customers!$I$1:$I$1001,,0)</f>
        <v>No</v>
      </c>
    </row>
    <row r="207" spans="1:16" x14ac:dyDescent="0.35">
      <c r="A207" s="2" t="s">
        <v>1643</v>
      </c>
      <c r="B207" s="5">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6">
        <f>INDEX(products!$A$1:$G$49,MATCH(orders!$D207,products!$A$1:$A$49,0),MATCH(K$1,products!$A$1:$G$1,0))</f>
        <v>0.2</v>
      </c>
      <c r="L207" s="7">
        <f>INDEX(products!$A$1:$G$49,MATCH(orders!$D207,products!$A$1:$A$49,0),MATCH(L$1,products!$A$1:$G$1,0))</f>
        <v>2.6849999999999996</v>
      </c>
      <c r="M207" s="7">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ID]],customers!$A$1:$A$1001,customers!$I$1:$I$1001,,0)</f>
        <v>Yes</v>
      </c>
    </row>
    <row r="208" spans="1:16" x14ac:dyDescent="0.35">
      <c r="A208" s="2" t="s">
        <v>1648</v>
      </c>
      <c r="B208" s="5">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6">
        <f>INDEX(products!$A$1:$G$49,MATCH(orders!$D208,products!$A$1:$A$49,0),MATCH(K$1,products!$A$1:$G$1,0))</f>
        <v>1</v>
      </c>
      <c r="L208" s="7">
        <f>INDEX(products!$A$1:$G$49,MATCH(orders!$D208,products!$A$1:$A$49,0),MATCH(L$1,products!$A$1:$G$1,0))</f>
        <v>11.25</v>
      </c>
      <c r="M208" s="7">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ID]],customers!$A$1:$A$1001,customers!$I$1:$I$1001,,0)</f>
        <v>No</v>
      </c>
    </row>
    <row r="209" spans="1:16" x14ac:dyDescent="0.35">
      <c r="A209" s="2" t="s">
        <v>1653</v>
      </c>
      <c r="B209" s="5">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6">
        <f>INDEX(products!$A$1:$G$49,MATCH(orders!$D209,products!$A$1:$A$49,0),MATCH(K$1,products!$A$1:$G$1,0))</f>
        <v>0.5</v>
      </c>
      <c r="L209" s="7">
        <f>INDEX(products!$A$1:$G$49,MATCH(orders!$D209,products!$A$1:$A$49,0),MATCH(L$1,products!$A$1:$G$1,0))</f>
        <v>6.75</v>
      </c>
      <c r="M209" s="7">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ID]],customers!$A$1:$A$1001,customers!$I$1:$I$1001,,0)</f>
        <v>Yes</v>
      </c>
    </row>
    <row r="210" spans="1:16" x14ac:dyDescent="0.35">
      <c r="A210" s="2" t="s">
        <v>1659</v>
      </c>
      <c r="B210" s="5">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6">
        <f>INDEX(products!$A$1:$G$49,MATCH(orders!$D210,products!$A$1:$A$49,0),MATCH(K$1,products!$A$1:$G$1,0))</f>
        <v>0.5</v>
      </c>
      <c r="L210" s="7">
        <f>INDEX(products!$A$1:$G$49,MATCH(orders!$D210,products!$A$1:$A$49,0),MATCH(L$1,products!$A$1:$G$1,0))</f>
        <v>7.29</v>
      </c>
      <c r="M210" s="7">
        <f t="shared" si="3"/>
        <v>29.16</v>
      </c>
      <c r="N210" t="str" cm="1">
        <f t="array" ref="N210">_xlfn.IFS(I210="Rob","Robusta",I210="Exc","Excelsa",I210="Ara","Arabica",I210="Lib","Liberica")</f>
        <v>Excelsa</v>
      </c>
      <c r="O210" t="str" cm="1">
        <f t="array" ref="O210">_xlfn.IFS(J210="M","Medium",J210="L","Light",J210="D","Dark")</f>
        <v>Dark</v>
      </c>
      <c r="P210" t="str">
        <f>_xlfn.XLOOKUP(Orders[[#This Row],[Customer ID]],customers!$A$1:$A$1001,customers!$I$1:$I$1001,,0)</f>
        <v>Yes</v>
      </c>
    </row>
    <row r="211" spans="1:16" x14ac:dyDescent="0.35">
      <c r="A211" s="2" t="s">
        <v>1665</v>
      </c>
      <c r="B211" s="5">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6">
        <f>INDEX(products!$A$1:$G$49,MATCH(orders!$D211,products!$A$1:$A$49,0),MATCH(K$1,products!$A$1:$G$1,0))</f>
        <v>0.5</v>
      </c>
      <c r="L211" s="7">
        <f>INDEX(products!$A$1:$G$49,MATCH(orders!$D211,products!$A$1:$A$49,0),MATCH(L$1,products!$A$1:$G$1,0))</f>
        <v>6.75</v>
      </c>
      <c r="M211" s="7">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ID]],customers!$A$1:$A$1001,customers!$I$1:$I$1001,,0)</f>
        <v>No</v>
      </c>
    </row>
    <row r="212" spans="1:16" x14ac:dyDescent="0.35">
      <c r="A212" s="2" t="s">
        <v>1671</v>
      </c>
      <c r="B212" s="5">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6">
        <f>INDEX(products!$A$1:$G$49,MATCH(orders!$D212,products!$A$1:$A$49,0),MATCH(K$1,products!$A$1:$G$1,0))</f>
        <v>1</v>
      </c>
      <c r="L212" s="7">
        <f>INDEX(products!$A$1:$G$49,MATCH(orders!$D212,products!$A$1:$A$49,0),MATCH(L$1,products!$A$1:$G$1,0))</f>
        <v>12.95</v>
      </c>
      <c r="M212" s="7">
        <f t="shared" si="3"/>
        <v>51.8</v>
      </c>
      <c r="N212" t="str" cm="1">
        <f t="array" ref="N212">_xlfn.IFS(I212="Rob","Robusta",I212="Exc","Excelsa",I212="Ara","Arabica",I212="Lib","Liberica")</f>
        <v>Liberica</v>
      </c>
      <c r="O212" t="str" cm="1">
        <f t="array" ref="O212">_xlfn.IFS(J212="M","Medium",J212="L","Light",J212="D","Dark")</f>
        <v>Dark</v>
      </c>
      <c r="P212" t="str">
        <f>_xlfn.XLOOKUP(Orders[[#This Row],[Customer ID]],customers!$A$1:$A$1001,customers!$I$1:$I$1001,,0)</f>
        <v>Yes</v>
      </c>
    </row>
    <row r="213" spans="1:16" x14ac:dyDescent="0.35">
      <c r="A213" s="2" t="s">
        <v>1677</v>
      </c>
      <c r="B213" s="5">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6">
        <f>INDEX(products!$A$1:$G$49,MATCH(orders!$D213,products!$A$1:$A$49,0),MATCH(K$1,products!$A$1:$G$1,0))</f>
        <v>0.5</v>
      </c>
      <c r="L213" s="7">
        <f>INDEX(products!$A$1:$G$49,MATCH(orders!$D213,products!$A$1:$A$49,0),MATCH(L$1,products!$A$1:$G$1,0))</f>
        <v>8.91</v>
      </c>
      <c r="M213" s="7">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ID]],customers!$A$1:$A$1001,customers!$I$1:$I$1001,,0)</f>
        <v>No</v>
      </c>
    </row>
    <row r="214" spans="1:16" x14ac:dyDescent="0.35">
      <c r="A214" s="2" t="s">
        <v>1682</v>
      </c>
      <c r="B214" s="5">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6">
        <f>INDEX(products!$A$1:$G$49,MATCH(orders!$D214,products!$A$1:$A$49,0),MATCH(K$1,products!$A$1:$G$1,0))</f>
        <v>0.2</v>
      </c>
      <c r="L214" s="7">
        <f>INDEX(products!$A$1:$G$49,MATCH(orders!$D214,products!$A$1:$A$49,0),MATCH(L$1,products!$A$1:$G$1,0))</f>
        <v>3.645</v>
      </c>
      <c r="M214" s="7">
        <f t="shared" si="3"/>
        <v>14.58</v>
      </c>
      <c r="N214" t="str" cm="1">
        <f t="array" ref="N214">_xlfn.IFS(I214="Rob","Robusta",I214="Exc","Excelsa",I214="Ara","Arabica",I214="Lib","Liberica")</f>
        <v>Excelsa</v>
      </c>
      <c r="O214" t="str" cm="1">
        <f t="array" ref="O214">_xlfn.IFS(J214="M","Medium",J214="L","Light",J214="D","Dark")</f>
        <v>Dark</v>
      </c>
      <c r="P214" t="str">
        <f>_xlfn.XLOOKUP(Orders[[#This Row],[Customer ID]],customers!$A$1:$A$1001,customers!$I$1:$I$1001,,0)</f>
        <v>Yes</v>
      </c>
    </row>
    <row r="215" spans="1:16" x14ac:dyDescent="0.35">
      <c r="A215" s="2" t="s">
        <v>1688</v>
      </c>
      <c r="B215" s="5">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6">
        <f>INDEX(products!$A$1:$G$49,MATCH(orders!$D215,products!$A$1:$A$49,0),MATCH(K$1,products!$A$1:$G$1,0))</f>
        <v>2.5</v>
      </c>
      <c r="L215" s="7">
        <f>INDEX(products!$A$1:$G$49,MATCH(orders!$D215,products!$A$1:$A$49,0),MATCH(L$1,products!$A$1:$G$1,0))</f>
        <v>20.584999999999997</v>
      </c>
      <c r="M215" s="7">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ID]],customers!$A$1:$A$1001,customers!$I$1:$I$1001,,0)</f>
        <v>No</v>
      </c>
    </row>
    <row r="216" spans="1:16" x14ac:dyDescent="0.35">
      <c r="A216" s="2" t="s">
        <v>1694</v>
      </c>
      <c r="B216" s="5">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6">
        <f>INDEX(products!$A$1:$G$49,MATCH(orders!$D216,products!$A$1:$A$49,0),MATCH(K$1,products!$A$1:$G$1,0))</f>
        <v>1</v>
      </c>
      <c r="L216" s="7">
        <f>INDEX(products!$A$1:$G$49,MATCH(orders!$D216,products!$A$1:$A$49,0),MATCH(L$1,products!$A$1:$G$1,0))</f>
        <v>15.85</v>
      </c>
      <c r="M216" s="7">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ID]],customers!$A$1:$A$1001,customers!$I$1:$I$1001,,0)</f>
        <v>No</v>
      </c>
    </row>
    <row r="217" spans="1:16" x14ac:dyDescent="0.35">
      <c r="A217" s="2" t="s">
        <v>1701</v>
      </c>
      <c r="B217" s="5">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6">
        <f>INDEX(products!$A$1:$G$49,MATCH(orders!$D217,products!$A$1:$A$49,0),MATCH(K$1,products!$A$1:$G$1,0))</f>
        <v>0.2</v>
      </c>
      <c r="L217" s="7">
        <f>INDEX(products!$A$1:$G$49,MATCH(orders!$D217,products!$A$1:$A$49,0),MATCH(L$1,products!$A$1:$G$1,0))</f>
        <v>3.8849999999999998</v>
      </c>
      <c r="M217" s="7">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ID]],customers!$A$1:$A$1001,customers!$I$1:$I$1001,,0)</f>
        <v>No</v>
      </c>
    </row>
    <row r="218" spans="1:16" x14ac:dyDescent="0.35">
      <c r="A218" s="2" t="s">
        <v>1707</v>
      </c>
      <c r="B218" s="5">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6">
        <f>INDEX(products!$A$1:$G$49,MATCH(orders!$D218,products!$A$1:$A$49,0),MATCH(K$1,products!$A$1:$G$1,0))</f>
        <v>1</v>
      </c>
      <c r="L218" s="7">
        <f>INDEX(products!$A$1:$G$49,MATCH(orders!$D218,products!$A$1:$A$49,0),MATCH(L$1,products!$A$1:$G$1,0))</f>
        <v>14.55</v>
      </c>
      <c r="M218" s="7">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ID]],customers!$A$1:$A$1001,customers!$I$1:$I$1001,,0)</f>
        <v>Yes</v>
      </c>
    </row>
    <row r="219" spans="1:16" x14ac:dyDescent="0.35">
      <c r="A219" s="2" t="s">
        <v>1713</v>
      </c>
      <c r="B219" s="5">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6">
        <f>INDEX(products!$A$1:$G$49,MATCH(orders!$D219,products!$A$1:$A$49,0),MATCH(K$1,products!$A$1:$G$1,0))</f>
        <v>0.5</v>
      </c>
      <c r="L219" s="7">
        <f>INDEX(products!$A$1:$G$49,MATCH(orders!$D219,products!$A$1:$A$49,0),MATCH(L$1,products!$A$1:$G$1,0))</f>
        <v>8.91</v>
      </c>
      <c r="M219" s="7">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ID]],customers!$A$1:$A$1001,customers!$I$1:$I$1001,,0)</f>
        <v>No</v>
      </c>
    </row>
    <row r="220" spans="1:16" x14ac:dyDescent="0.35">
      <c r="A220" s="2" t="s">
        <v>1719</v>
      </c>
      <c r="B220" s="5">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6">
        <f>INDEX(products!$A$1:$G$49,MATCH(orders!$D220,products!$A$1:$A$49,0),MATCH(K$1,products!$A$1:$G$1,0))</f>
        <v>1</v>
      </c>
      <c r="L220" s="7">
        <f>INDEX(products!$A$1:$G$49,MATCH(orders!$D220,products!$A$1:$A$49,0),MATCH(L$1,products!$A$1:$G$1,0))</f>
        <v>11.25</v>
      </c>
      <c r="M220" s="7">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ID]],customers!$A$1:$A$1001,customers!$I$1:$I$1001,,0)</f>
        <v>Yes</v>
      </c>
    </row>
    <row r="221" spans="1:16" x14ac:dyDescent="0.35">
      <c r="A221" s="2" t="s">
        <v>1725</v>
      </c>
      <c r="B221" s="5">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6">
        <f>INDEX(products!$A$1:$G$49,MATCH(orders!$D221,products!$A$1:$A$49,0),MATCH(K$1,products!$A$1:$G$1,0))</f>
        <v>0.2</v>
      </c>
      <c r="L221" s="7">
        <f>INDEX(products!$A$1:$G$49,MATCH(orders!$D221,products!$A$1:$A$49,0),MATCH(L$1,products!$A$1:$G$1,0))</f>
        <v>3.5849999999999995</v>
      </c>
      <c r="M221" s="7">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ID]],customers!$A$1:$A$1001,customers!$I$1:$I$1001,,0)</f>
        <v>No</v>
      </c>
    </row>
    <row r="222" spans="1:16" x14ac:dyDescent="0.35">
      <c r="A222" s="2" t="s">
        <v>1725</v>
      </c>
      <c r="B222" s="5">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6">
        <f>INDEX(products!$A$1:$G$49,MATCH(orders!$D222,products!$A$1:$A$49,0),MATCH(K$1,products!$A$1:$G$1,0))</f>
        <v>0.2</v>
      </c>
      <c r="L222" s="7">
        <f>INDEX(products!$A$1:$G$49,MATCH(orders!$D222,products!$A$1:$A$49,0),MATCH(L$1,products!$A$1:$G$1,0))</f>
        <v>2.9849999999999999</v>
      </c>
      <c r="M222" s="7">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ID]],customers!$A$1:$A$1001,customers!$I$1:$I$1001,,0)</f>
        <v>No</v>
      </c>
    </row>
    <row r="223" spans="1:16" x14ac:dyDescent="0.35">
      <c r="A223" s="2" t="s">
        <v>1736</v>
      </c>
      <c r="B223" s="5">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6">
        <f>INDEX(products!$A$1:$G$49,MATCH(orders!$D223,products!$A$1:$A$49,0),MATCH(K$1,products!$A$1:$G$1,0))</f>
        <v>1</v>
      </c>
      <c r="L223" s="7">
        <f>INDEX(products!$A$1:$G$49,MATCH(orders!$D223,products!$A$1:$A$49,0),MATCH(L$1,products!$A$1:$G$1,0))</f>
        <v>12.95</v>
      </c>
      <c r="M223" s="7">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ID]],customers!$A$1:$A$1001,customers!$I$1:$I$1001,,0)</f>
        <v>Yes</v>
      </c>
    </row>
    <row r="224" spans="1:16" x14ac:dyDescent="0.35">
      <c r="A224" s="2" t="s">
        <v>1742</v>
      </c>
      <c r="B224" s="5">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6">
        <f>INDEX(products!$A$1:$G$49,MATCH(orders!$D224,products!$A$1:$A$49,0),MATCH(K$1,products!$A$1:$G$1,0))</f>
        <v>0.5</v>
      </c>
      <c r="L224" s="7">
        <f>INDEX(products!$A$1:$G$49,MATCH(orders!$D224,products!$A$1:$A$49,0),MATCH(L$1,products!$A$1:$G$1,0))</f>
        <v>7.77</v>
      </c>
      <c r="M224" s="7">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ID]],customers!$A$1:$A$1001,customers!$I$1:$I$1001,,0)</f>
        <v>No</v>
      </c>
    </row>
    <row r="225" spans="1:16" x14ac:dyDescent="0.35">
      <c r="A225" s="2" t="s">
        <v>1748</v>
      </c>
      <c r="B225" s="5">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6">
        <f>INDEX(products!$A$1:$G$49,MATCH(orders!$D225,products!$A$1:$A$49,0),MATCH(K$1,products!$A$1:$G$1,0))</f>
        <v>1</v>
      </c>
      <c r="L225" s="7">
        <f>INDEX(products!$A$1:$G$49,MATCH(orders!$D225,products!$A$1:$A$49,0),MATCH(L$1,products!$A$1:$G$1,0))</f>
        <v>14.85</v>
      </c>
      <c r="M225" s="7">
        <f t="shared" si="3"/>
        <v>59.4</v>
      </c>
      <c r="N225" t="str" cm="1">
        <f t="array" ref="N225">_xlfn.IFS(I225="Rob","Robusta",I225="Exc","Excelsa",I225="Ara","Arabica",I225="Lib","Liberica")</f>
        <v>Excelsa</v>
      </c>
      <c r="O225" t="str" cm="1">
        <f t="array" ref="O225">_xlfn.IFS(J225="M","Medium",J225="L","Light",J225="D","Dark")</f>
        <v>Light</v>
      </c>
      <c r="P225" t="str">
        <f>_xlfn.XLOOKUP(Orders[[#This Row],[Customer ID]],customers!$A$1:$A$1001,customers!$I$1:$I$1001,,0)</f>
        <v>Yes</v>
      </c>
    </row>
    <row r="226" spans="1:16" x14ac:dyDescent="0.35">
      <c r="A226" s="2" t="s">
        <v>1753</v>
      </c>
      <c r="B226" s="5">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6">
        <f>INDEX(products!$A$1:$G$49,MATCH(orders!$D226,products!$A$1:$A$49,0),MATCH(K$1,products!$A$1:$G$1,0))</f>
        <v>2.5</v>
      </c>
      <c r="L226" s="7">
        <f>INDEX(products!$A$1:$G$49,MATCH(orders!$D226,products!$A$1:$A$49,0),MATCH(L$1,products!$A$1:$G$1,0))</f>
        <v>29.784999999999997</v>
      </c>
      <c r="M226" s="7">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ID]],customers!$A$1:$A$1001,customers!$I$1:$I$1001,,0)</f>
        <v>Yes</v>
      </c>
    </row>
    <row r="227" spans="1:16" x14ac:dyDescent="0.35">
      <c r="A227" s="2" t="s">
        <v>1759</v>
      </c>
      <c r="B227" s="5">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6">
        <f>INDEX(products!$A$1:$G$49,MATCH(orders!$D227,products!$A$1:$A$49,0),MATCH(K$1,products!$A$1:$G$1,0))</f>
        <v>0.2</v>
      </c>
      <c r="L227" s="7">
        <f>INDEX(products!$A$1:$G$49,MATCH(orders!$D227,products!$A$1:$A$49,0),MATCH(L$1,products!$A$1:$G$1,0))</f>
        <v>3.5849999999999995</v>
      </c>
      <c r="M227" s="7">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ID]],customers!$A$1:$A$1001,customers!$I$1:$I$1001,,0)</f>
        <v>No</v>
      </c>
    </row>
    <row r="228" spans="1:16" x14ac:dyDescent="0.35">
      <c r="A228" s="2" t="s">
        <v>1765</v>
      </c>
      <c r="B228" s="5">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6">
        <f>INDEX(products!$A$1:$G$49,MATCH(orders!$D228,products!$A$1:$A$49,0),MATCH(K$1,products!$A$1:$G$1,0))</f>
        <v>2.5</v>
      </c>
      <c r="L228" s="7">
        <f>INDEX(products!$A$1:$G$49,MATCH(orders!$D228,products!$A$1:$A$49,0),MATCH(L$1,products!$A$1:$G$1,0))</f>
        <v>25.874999999999996</v>
      </c>
      <c r="M228" s="7">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ID]],customers!$A$1:$A$1001,customers!$I$1:$I$1001,,0)</f>
        <v>No</v>
      </c>
    </row>
    <row r="229" spans="1:16" x14ac:dyDescent="0.35">
      <c r="A229" s="2" t="s">
        <v>1771</v>
      </c>
      <c r="B229" s="5">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6">
        <f>INDEX(products!$A$1:$G$49,MATCH(orders!$D229,products!$A$1:$A$49,0),MATCH(K$1,products!$A$1:$G$1,0))</f>
        <v>0.2</v>
      </c>
      <c r="L229" s="7">
        <f>INDEX(products!$A$1:$G$49,MATCH(orders!$D229,products!$A$1:$A$49,0),MATCH(L$1,products!$A$1:$G$1,0))</f>
        <v>2.6849999999999996</v>
      </c>
      <c r="M229" s="7">
        <f t="shared" si="3"/>
        <v>16.11</v>
      </c>
      <c r="N229" t="str" cm="1">
        <f t="array" ref="N229">_xlfn.IFS(I229="Rob","Robusta",I229="Exc","Excelsa",I229="Ara","Arabica",I229="Lib","Liberica")</f>
        <v>Robusta</v>
      </c>
      <c r="O229" t="str" cm="1">
        <f t="array" ref="O229">_xlfn.IFS(J229="M","Medium",J229="L","Light",J229="D","Dark")</f>
        <v>Dark</v>
      </c>
      <c r="P229" t="str">
        <f>_xlfn.XLOOKUP(Orders[[#This Row],[Customer ID]],customers!$A$1:$A$1001,customers!$I$1:$I$1001,,0)</f>
        <v>Yes</v>
      </c>
    </row>
    <row r="230" spans="1:16" x14ac:dyDescent="0.35">
      <c r="A230" s="2" t="s">
        <v>1777</v>
      </c>
      <c r="B230" s="5">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6">
        <f>INDEX(products!$A$1:$G$49,MATCH(orders!$D230,products!$A$1:$A$49,0),MATCH(K$1,products!$A$1:$G$1,0))</f>
        <v>0.2</v>
      </c>
      <c r="L230" s="7">
        <f>INDEX(products!$A$1:$G$49,MATCH(orders!$D230,products!$A$1:$A$49,0),MATCH(L$1,products!$A$1:$G$1,0))</f>
        <v>3.5849999999999995</v>
      </c>
      <c r="M230" s="7">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ID]],customers!$A$1:$A$1001,customers!$I$1:$I$1001,,0)</f>
        <v>No</v>
      </c>
    </row>
    <row r="231" spans="1:16" x14ac:dyDescent="0.35">
      <c r="A231" s="2" t="s">
        <v>1783</v>
      </c>
      <c r="B231" s="5">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6">
        <f>INDEX(products!$A$1:$G$49,MATCH(orders!$D231,products!$A$1:$A$49,0),MATCH(K$1,products!$A$1:$G$1,0))</f>
        <v>0.2</v>
      </c>
      <c r="L231" s="7">
        <f>INDEX(products!$A$1:$G$49,MATCH(orders!$D231,products!$A$1:$A$49,0),MATCH(L$1,products!$A$1:$G$1,0))</f>
        <v>4.3650000000000002</v>
      </c>
      <c r="M231" s="7">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ID]],customers!$A$1:$A$1001,customers!$I$1:$I$1001,,0)</f>
        <v>No</v>
      </c>
    </row>
    <row r="232" spans="1:16" x14ac:dyDescent="0.35">
      <c r="A232" s="2" t="s">
        <v>1789</v>
      </c>
      <c r="B232" s="5">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6">
        <f>INDEX(products!$A$1:$G$49,MATCH(orders!$D232,products!$A$1:$A$49,0),MATCH(K$1,products!$A$1:$G$1,0))</f>
        <v>2.5</v>
      </c>
      <c r="L232" s="7">
        <f>INDEX(products!$A$1:$G$49,MATCH(orders!$D232,products!$A$1:$A$49,0),MATCH(L$1,products!$A$1:$G$1,0))</f>
        <v>25.874999999999996</v>
      </c>
      <c r="M232" s="7">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ID]],customers!$A$1:$A$1001,customers!$I$1:$I$1001,,0)</f>
        <v>No</v>
      </c>
    </row>
    <row r="233" spans="1:16" x14ac:dyDescent="0.35">
      <c r="A233" s="2" t="s">
        <v>1795</v>
      </c>
      <c r="B233" s="5">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6">
        <f>INDEX(products!$A$1:$G$49,MATCH(orders!$D233,products!$A$1:$A$49,0),MATCH(K$1,products!$A$1:$G$1,0))</f>
        <v>0.2</v>
      </c>
      <c r="L233" s="7">
        <f>INDEX(products!$A$1:$G$49,MATCH(orders!$D233,products!$A$1:$A$49,0),MATCH(L$1,products!$A$1:$G$1,0))</f>
        <v>4.3650000000000002</v>
      </c>
      <c r="M233" s="7">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ID]],customers!$A$1:$A$1001,customers!$I$1:$I$1001,,0)</f>
        <v>Yes</v>
      </c>
    </row>
    <row r="234" spans="1:16" x14ac:dyDescent="0.35">
      <c r="A234" s="2" t="s">
        <v>1800</v>
      </c>
      <c r="B234" s="5">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6">
        <f>INDEX(products!$A$1:$G$49,MATCH(orders!$D234,products!$A$1:$A$49,0),MATCH(K$1,products!$A$1:$G$1,0))</f>
        <v>0.2</v>
      </c>
      <c r="L234" s="7">
        <f>INDEX(products!$A$1:$G$49,MATCH(orders!$D234,products!$A$1:$A$49,0),MATCH(L$1,products!$A$1:$G$1,0))</f>
        <v>4.7549999999999999</v>
      </c>
      <c r="M234" s="7">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ID]],customers!$A$1:$A$1001,customers!$I$1:$I$1001,,0)</f>
        <v>No</v>
      </c>
    </row>
    <row r="235" spans="1:16" x14ac:dyDescent="0.35">
      <c r="A235" s="2" t="s">
        <v>1806</v>
      </c>
      <c r="B235" s="5">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6">
        <f>INDEX(products!$A$1:$G$49,MATCH(orders!$D235,products!$A$1:$A$49,0),MATCH(K$1,products!$A$1:$G$1,0))</f>
        <v>0.2</v>
      </c>
      <c r="L235" s="7">
        <f>INDEX(products!$A$1:$G$49,MATCH(orders!$D235,products!$A$1:$A$49,0),MATCH(L$1,products!$A$1:$G$1,0))</f>
        <v>4.125</v>
      </c>
      <c r="M235" s="7">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ID]],customers!$A$1:$A$1001,customers!$I$1:$I$1001,,0)</f>
        <v>No</v>
      </c>
    </row>
    <row r="236" spans="1:16" x14ac:dyDescent="0.35">
      <c r="A236" s="2" t="s">
        <v>1812</v>
      </c>
      <c r="B236" s="5">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6">
        <f>INDEX(products!$A$1:$G$49,MATCH(orders!$D236,products!$A$1:$A$49,0),MATCH(K$1,products!$A$1:$G$1,0))</f>
        <v>2.5</v>
      </c>
      <c r="L236" s="7">
        <f>INDEX(products!$A$1:$G$49,MATCH(orders!$D236,products!$A$1:$A$49,0),MATCH(L$1,products!$A$1:$G$1,0))</f>
        <v>36.454999999999998</v>
      </c>
      <c r="M236" s="7">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ID]],customers!$A$1:$A$1001,customers!$I$1:$I$1001,,0)</f>
        <v>No</v>
      </c>
    </row>
    <row r="237" spans="1:16" x14ac:dyDescent="0.35">
      <c r="A237" s="2" t="s">
        <v>1818</v>
      </c>
      <c r="B237" s="5">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6">
        <f>INDEX(products!$A$1:$G$49,MATCH(orders!$D237,products!$A$1:$A$49,0),MATCH(K$1,products!$A$1:$G$1,0))</f>
        <v>2.5</v>
      </c>
      <c r="L237" s="7">
        <f>INDEX(products!$A$1:$G$49,MATCH(orders!$D237,products!$A$1:$A$49,0),MATCH(L$1,products!$A$1:$G$1,0))</f>
        <v>36.454999999999998</v>
      </c>
      <c r="M237" s="7">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ID]],customers!$A$1:$A$1001,customers!$I$1:$I$1001,,0)</f>
        <v>No</v>
      </c>
    </row>
    <row r="238" spans="1:16" x14ac:dyDescent="0.35">
      <c r="A238" s="2" t="s">
        <v>1822</v>
      </c>
      <c r="B238" s="5">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6">
        <f>INDEX(products!$A$1:$G$49,MATCH(orders!$D238,products!$A$1:$A$49,0),MATCH(K$1,products!$A$1:$G$1,0))</f>
        <v>2.5</v>
      </c>
      <c r="L238" s="7">
        <f>INDEX(products!$A$1:$G$49,MATCH(orders!$D238,products!$A$1:$A$49,0),MATCH(L$1,products!$A$1:$G$1,0))</f>
        <v>29.784999999999997</v>
      </c>
      <c r="M238" s="7">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ID]],customers!$A$1:$A$1001,customers!$I$1:$I$1001,,0)</f>
        <v>No</v>
      </c>
    </row>
    <row r="239" spans="1:16" x14ac:dyDescent="0.35">
      <c r="A239" s="2" t="s">
        <v>1828</v>
      </c>
      <c r="B239" s="5">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6">
        <f>INDEX(products!$A$1:$G$49,MATCH(orders!$D239,products!$A$1:$A$49,0),MATCH(K$1,products!$A$1:$G$1,0))</f>
        <v>0.2</v>
      </c>
      <c r="L239" s="7">
        <f>INDEX(products!$A$1:$G$49,MATCH(orders!$D239,products!$A$1:$A$49,0),MATCH(L$1,products!$A$1:$G$1,0))</f>
        <v>3.5849999999999995</v>
      </c>
      <c r="M239" s="7">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ID]],customers!$A$1:$A$1001,customers!$I$1:$I$1001,,0)</f>
        <v>Yes</v>
      </c>
    </row>
    <row r="240" spans="1:16" x14ac:dyDescent="0.35">
      <c r="A240" s="2" t="s">
        <v>1833</v>
      </c>
      <c r="B240" s="5">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6">
        <f>INDEX(products!$A$1:$G$49,MATCH(orders!$D240,products!$A$1:$A$49,0),MATCH(K$1,products!$A$1:$G$1,0))</f>
        <v>2.5</v>
      </c>
      <c r="L240" s="7">
        <f>INDEX(products!$A$1:$G$49,MATCH(orders!$D240,products!$A$1:$A$49,0),MATCH(L$1,products!$A$1:$G$1,0))</f>
        <v>22.884999999999998</v>
      </c>
      <c r="M240" s="7">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ID]],customers!$A$1:$A$1001,customers!$I$1:$I$1001,,0)</f>
        <v>Yes</v>
      </c>
    </row>
    <row r="241" spans="1:16" x14ac:dyDescent="0.35">
      <c r="A241" s="2" t="s">
        <v>1839</v>
      </c>
      <c r="B241" s="5">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6">
        <f>INDEX(products!$A$1:$G$49,MATCH(orders!$D241,products!$A$1:$A$49,0),MATCH(K$1,products!$A$1:$G$1,0))</f>
        <v>1</v>
      </c>
      <c r="L241" s="7">
        <f>INDEX(products!$A$1:$G$49,MATCH(orders!$D241,products!$A$1:$A$49,0),MATCH(L$1,products!$A$1:$G$1,0))</f>
        <v>14.85</v>
      </c>
      <c r="M241" s="7">
        <f t="shared" si="3"/>
        <v>59.4</v>
      </c>
      <c r="N241" t="str" cm="1">
        <f t="array" ref="N241">_xlfn.IFS(I241="Rob","Robusta",I241="Exc","Excelsa",I241="Ara","Arabica",I241="Lib","Liberica")</f>
        <v>Excelsa</v>
      </c>
      <c r="O241" t="str" cm="1">
        <f t="array" ref="O241">_xlfn.IFS(J241="M","Medium",J241="L","Light",J241="D","Dark")</f>
        <v>Light</v>
      </c>
      <c r="P241" t="str">
        <f>_xlfn.XLOOKUP(Orders[[#This Row],[Customer ID]],customers!$A$1:$A$1001,customers!$I$1:$I$1001,,0)</f>
        <v>No</v>
      </c>
    </row>
    <row r="242" spans="1:16" x14ac:dyDescent="0.35">
      <c r="A242" s="2" t="s">
        <v>1845</v>
      </c>
      <c r="B242" s="5">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6">
        <f>INDEX(products!$A$1:$G$49,MATCH(orders!$D242,products!$A$1:$A$49,0),MATCH(K$1,products!$A$1:$G$1,0))</f>
        <v>2.5</v>
      </c>
      <c r="L242" s="7">
        <f>INDEX(products!$A$1:$G$49,MATCH(orders!$D242,products!$A$1:$A$49,0),MATCH(L$1,products!$A$1:$G$1,0))</f>
        <v>25.874999999999996</v>
      </c>
      <c r="M242" s="7">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ID]],customers!$A$1:$A$1001,customers!$I$1:$I$1001,,0)</f>
        <v>Yes</v>
      </c>
    </row>
    <row r="243" spans="1:16" x14ac:dyDescent="0.35">
      <c r="A243" s="2" t="s">
        <v>1849</v>
      </c>
      <c r="B243" s="5">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6">
        <f>INDEX(products!$A$1:$G$49,MATCH(orders!$D243,products!$A$1:$A$49,0),MATCH(K$1,products!$A$1:$G$1,0))</f>
        <v>2.5</v>
      </c>
      <c r="L243" s="7">
        <f>INDEX(products!$A$1:$G$49,MATCH(orders!$D243,products!$A$1:$A$49,0),MATCH(L$1,products!$A$1:$G$1,0))</f>
        <v>22.884999999999998</v>
      </c>
      <c r="M243" s="7">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ID]],customers!$A$1:$A$1001,customers!$I$1:$I$1001,,0)</f>
        <v>No</v>
      </c>
    </row>
    <row r="244" spans="1:16" x14ac:dyDescent="0.35">
      <c r="A244" s="2" t="s">
        <v>1854</v>
      </c>
      <c r="B244" s="5">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6">
        <f>INDEX(products!$A$1:$G$49,MATCH(orders!$D244,products!$A$1:$A$49,0),MATCH(K$1,products!$A$1:$G$1,0))</f>
        <v>1</v>
      </c>
      <c r="L244" s="7">
        <f>INDEX(products!$A$1:$G$49,MATCH(orders!$D244,products!$A$1:$A$49,0),MATCH(L$1,products!$A$1:$G$1,0))</f>
        <v>12.15</v>
      </c>
      <c r="M244" s="7">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ID]],customers!$A$1:$A$1001,customers!$I$1:$I$1001,,0)</f>
        <v>Yes</v>
      </c>
    </row>
    <row r="245" spans="1:16" x14ac:dyDescent="0.35">
      <c r="A245" s="2" t="s">
        <v>1860</v>
      </c>
      <c r="B245" s="5">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6">
        <f>INDEX(products!$A$1:$G$49,MATCH(orders!$D245,products!$A$1:$A$49,0),MATCH(K$1,products!$A$1:$G$1,0))</f>
        <v>0.5</v>
      </c>
      <c r="L245" s="7">
        <f>INDEX(products!$A$1:$G$49,MATCH(orders!$D245,products!$A$1:$A$49,0),MATCH(L$1,products!$A$1:$G$1,0))</f>
        <v>7.29</v>
      </c>
      <c r="M245" s="7">
        <f t="shared" si="3"/>
        <v>29.16</v>
      </c>
      <c r="N245" t="str" cm="1">
        <f t="array" ref="N245">_xlfn.IFS(I245="Rob","Robusta",I245="Exc","Excelsa",I245="Ara","Arabica",I245="Lib","Liberica")</f>
        <v>Excelsa</v>
      </c>
      <c r="O245" t="str" cm="1">
        <f t="array" ref="O245">_xlfn.IFS(J245="M","Medium",J245="L","Light",J245="D","Dark")</f>
        <v>Dark</v>
      </c>
      <c r="P245" t="str">
        <f>_xlfn.XLOOKUP(Orders[[#This Row],[Customer ID]],customers!$A$1:$A$1001,customers!$I$1:$I$1001,,0)</f>
        <v>Yes</v>
      </c>
    </row>
    <row r="246" spans="1:16" x14ac:dyDescent="0.35">
      <c r="A246" s="2" t="s">
        <v>1866</v>
      </c>
      <c r="B246" s="5">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6">
        <f>INDEX(products!$A$1:$G$49,MATCH(orders!$D246,products!$A$1:$A$49,0),MATCH(K$1,products!$A$1:$G$1,0))</f>
        <v>2.5</v>
      </c>
      <c r="L246" s="7">
        <f>INDEX(products!$A$1:$G$49,MATCH(orders!$D246,products!$A$1:$A$49,0),MATCH(L$1,products!$A$1:$G$1,0))</f>
        <v>33.464999999999996</v>
      </c>
      <c r="M246" s="7">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ID]],customers!$A$1:$A$1001,customers!$I$1:$I$1001,,0)</f>
        <v>No</v>
      </c>
    </row>
    <row r="247" spans="1:16" x14ac:dyDescent="0.35">
      <c r="A247" s="2" t="s">
        <v>1872</v>
      </c>
      <c r="B247" s="5">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6">
        <f>INDEX(products!$A$1:$G$49,MATCH(orders!$D247,products!$A$1:$A$49,0),MATCH(K$1,products!$A$1:$G$1,0))</f>
        <v>0.2</v>
      </c>
      <c r="L247" s="7">
        <f>INDEX(products!$A$1:$G$49,MATCH(orders!$D247,products!$A$1:$A$49,0),MATCH(L$1,products!$A$1:$G$1,0))</f>
        <v>4.7549999999999999</v>
      </c>
      <c r="M247" s="7">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ID]],customers!$A$1:$A$1001,customers!$I$1:$I$1001,,0)</f>
        <v>Yes</v>
      </c>
    </row>
    <row r="248" spans="1:16" x14ac:dyDescent="0.35">
      <c r="A248" s="2" t="s">
        <v>1878</v>
      </c>
      <c r="B248" s="5">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6">
        <f>INDEX(products!$A$1:$G$49,MATCH(orders!$D248,products!$A$1:$A$49,0),MATCH(K$1,products!$A$1:$G$1,0))</f>
        <v>1</v>
      </c>
      <c r="L248" s="7">
        <f>INDEX(products!$A$1:$G$49,MATCH(orders!$D248,products!$A$1:$A$49,0),MATCH(L$1,products!$A$1:$G$1,0))</f>
        <v>12.95</v>
      </c>
      <c r="M248" s="7">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ID]],customers!$A$1:$A$1001,customers!$I$1:$I$1001,,0)</f>
        <v>No</v>
      </c>
    </row>
    <row r="249" spans="1:16" x14ac:dyDescent="0.35">
      <c r="A249" s="2" t="s">
        <v>1884</v>
      </c>
      <c r="B249" s="5">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6">
        <f>INDEX(products!$A$1:$G$49,MATCH(orders!$D249,products!$A$1:$A$49,0),MATCH(K$1,products!$A$1:$G$1,0))</f>
        <v>0.2</v>
      </c>
      <c r="L249" s="7">
        <f>INDEX(products!$A$1:$G$49,MATCH(orders!$D249,products!$A$1:$A$49,0),MATCH(L$1,products!$A$1:$G$1,0))</f>
        <v>3.5849999999999995</v>
      </c>
      <c r="M249" s="7">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ID]],customers!$A$1:$A$1001,customers!$I$1:$I$1001,,0)</f>
        <v>Yes</v>
      </c>
    </row>
    <row r="250" spans="1:16" x14ac:dyDescent="0.35">
      <c r="A250" s="2" t="s">
        <v>1889</v>
      </c>
      <c r="B250" s="5">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6">
        <f>INDEX(products!$A$1:$G$49,MATCH(orders!$D250,products!$A$1:$A$49,0),MATCH(K$1,products!$A$1:$G$1,0))</f>
        <v>1</v>
      </c>
      <c r="L250" s="7">
        <f>INDEX(products!$A$1:$G$49,MATCH(orders!$D250,products!$A$1:$A$49,0),MATCH(L$1,products!$A$1:$G$1,0))</f>
        <v>9.9499999999999993</v>
      </c>
      <c r="M250" s="7">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ID]],customers!$A$1:$A$1001,customers!$I$1:$I$1001,,0)</f>
        <v>Yes</v>
      </c>
    </row>
    <row r="251" spans="1:16" x14ac:dyDescent="0.35">
      <c r="A251" s="2" t="s">
        <v>1895</v>
      </c>
      <c r="B251" s="5">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6">
        <f>INDEX(products!$A$1:$G$49,MATCH(orders!$D251,products!$A$1:$A$49,0),MATCH(K$1,products!$A$1:$G$1,0))</f>
        <v>1</v>
      </c>
      <c r="L251" s="7">
        <f>INDEX(products!$A$1:$G$49,MATCH(orders!$D251,products!$A$1:$A$49,0),MATCH(L$1,products!$A$1:$G$1,0))</f>
        <v>15.85</v>
      </c>
      <c r="M251" s="7">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ID]],customers!$A$1:$A$1001,customers!$I$1:$I$1001,,0)</f>
        <v>Yes</v>
      </c>
    </row>
    <row r="252" spans="1:16" x14ac:dyDescent="0.35">
      <c r="A252" s="2" t="s">
        <v>1900</v>
      </c>
      <c r="B252" s="5">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6">
        <f>INDEX(products!$A$1:$G$49,MATCH(orders!$D252,products!$A$1:$A$49,0),MATCH(K$1,products!$A$1:$G$1,0))</f>
        <v>0.2</v>
      </c>
      <c r="L252" s="7">
        <f>INDEX(products!$A$1:$G$49,MATCH(orders!$D252,products!$A$1:$A$49,0),MATCH(L$1,products!$A$1:$G$1,0))</f>
        <v>2.9849999999999999</v>
      </c>
      <c r="M252" s="7">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ID]],customers!$A$1:$A$1001,customers!$I$1:$I$1001,,0)</f>
        <v>Yes</v>
      </c>
    </row>
    <row r="253" spans="1:16" x14ac:dyDescent="0.35">
      <c r="A253" s="2" t="s">
        <v>1906</v>
      </c>
      <c r="B253" s="5">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6">
        <f>INDEX(products!$A$1:$G$49,MATCH(orders!$D253,products!$A$1:$A$49,0),MATCH(K$1,products!$A$1:$G$1,0))</f>
        <v>1</v>
      </c>
      <c r="L253" s="7">
        <f>INDEX(products!$A$1:$G$49,MATCH(orders!$D253,products!$A$1:$A$49,0),MATCH(L$1,products!$A$1:$G$1,0))</f>
        <v>13.75</v>
      </c>
      <c r="M253" s="7">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ID]],customers!$A$1:$A$1001,customers!$I$1:$I$1001,,0)</f>
        <v>Yes</v>
      </c>
    </row>
    <row r="254" spans="1:16" x14ac:dyDescent="0.35">
      <c r="A254" s="2" t="s">
        <v>1912</v>
      </c>
      <c r="B254" s="5">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6">
        <f>INDEX(products!$A$1:$G$49,MATCH(orders!$D254,products!$A$1:$A$49,0),MATCH(K$1,products!$A$1:$G$1,0))</f>
        <v>1</v>
      </c>
      <c r="L254" s="7">
        <f>INDEX(products!$A$1:$G$49,MATCH(orders!$D254,products!$A$1:$A$49,0),MATCH(L$1,products!$A$1:$G$1,0))</f>
        <v>9.9499999999999993</v>
      </c>
      <c r="M254" s="7">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ID]],customers!$A$1:$A$1001,customers!$I$1:$I$1001,,0)</f>
        <v>No</v>
      </c>
    </row>
    <row r="255" spans="1:16" x14ac:dyDescent="0.35">
      <c r="A255" s="2" t="s">
        <v>1917</v>
      </c>
      <c r="B255" s="5">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6">
        <f>INDEX(products!$A$1:$G$49,MATCH(orders!$D255,products!$A$1:$A$49,0),MATCH(K$1,products!$A$1:$G$1,0))</f>
        <v>1</v>
      </c>
      <c r="L255" s="7">
        <f>INDEX(products!$A$1:$G$49,MATCH(orders!$D255,products!$A$1:$A$49,0),MATCH(L$1,products!$A$1:$G$1,0))</f>
        <v>14.55</v>
      </c>
      <c r="M255" s="7">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ID]],customers!$A$1:$A$1001,customers!$I$1:$I$1001,,0)</f>
        <v>No</v>
      </c>
    </row>
    <row r="256" spans="1:16" x14ac:dyDescent="0.35">
      <c r="A256" s="2" t="s">
        <v>1923</v>
      </c>
      <c r="B256" s="5">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6">
        <f>INDEX(products!$A$1:$G$49,MATCH(orders!$D256,products!$A$1:$A$49,0),MATCH(K$1,products!$A$1:$G$1,0))</f>
        <v>0.5</v>
      </c>
      <c r="L256" s="7">
        <f>INDEX(products!$A$1:$G$49,MATCH(orders!$D256,products!$A$1:$A$49,0),MATCH(L$1,products!$A$1:$G$1,0))</f>
        <v>7.169999999999999</v>
      </c>
      <c r="M256" s="7">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ID]],customers!$A$1:$A$1001,customers!$I$1:$I$1001,,0)</f>
        <v>No</v>
      </c>
    </row>
    <row r="257" spans="1:16" x14ac:dyDescent="0.35">
      <c r="A257" s="2" t="s">
        <v>1928</v>
      </c>
      <c r="B257" s="5">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6">
        <f>INDEX(products!$A$1:$G$49,MATCH(orders!$D257,products!$A$1:$A$49,0),MATCH(K$1,products!$A$1:$G$1,0))</f>
        <v>0.5</v>
      </c>
      <c r="L257" s="7">
        <f>INDEX(products!$A$1:$G$49,MATCH(orders!$D257,products!$A$1:$A$49,0),MATCH(L$1,products!$A$1:$G$1,0))</f>
        <v>7.169999999999999</v>
      </c>
      <c r="M257" s="7">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ID]],customers!$A$1:$A$1001,customers!$I$1:$I$1001,,0)</f>
        <v>No</v>
      </c>
    </row>
    <row r="258" spans="1:16" x14ac:dyDescent="0.35">
      <c r="A258" s="2" t="s">
        <v>1934</v>
      </c>
      <c r="B258" s="5">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6">
        <f>INDEX(products!$A$1:$G$49,MATCH(orders!$D258,products!$A$1:$A$49,0),MATCH(K$1,products!$A$1:$G$1,0))</f>
        <v>0.5</v>
      </c>
      <c r="L258" s="7">
        <f>INDEX(products!$A$1:$G$49,MATCH(orders!$D258,products!$A$1:$A$49,0),MATCH(L$1,products!$A$1:$G$1,0))</f>
        <v>8.73</v>
      </c>
      <c r="M258" s="7">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ID]],customers!$A$1:$A$1001,customers!$I$1:$I$1001,,0)</f>
        <v>Yes</v>
      </c>
    </row>
    <row r="259" spans="1:16" x14ac:dyDescent="0.35">
      <c r="A259" s="2" t="s">
        <v>1940</v>
      </c>
      <c r="B259" s="5">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6">
        <f>INDEX(products!$A$1:$G$49,MATCH(orders!$D259,products!$A$1:$A$49,0),MATCH(K$1,products!$A$1:$G$1,0))</f>
        <v>2.5</v>
      </c>
      <c r="L259" s="7">
        <f>INDEX(products!$A$1:$G$49,MATCH(orders!$D259,products!$A$1:$A$49,0),MATCH(L$1,products!$A$1:$G$1,0))</f>
        <v>27.945</v>
      </c>
      <c r="M259" s="7">
        <f t="shared" ref="M259:M322" si="4">PRODUCT(L259,E259)</f>
        <v>27.945</v>
      </c>
      <c r="N259" t="str" cm="1">
        <f t="array" ref="N259">_xlfn.IFS(I259="Rob","Robusta",I259="Exc","Excelsa",I259="Ara","Arabica",I259="Lib","Liberica")</f>
        <v>Excelsa</v>
      </c>
      <c r="O259" t="str" cm="1">
        <f t="array" ref="O259">_xlfn.IFS(J259="M","Medium",J259="L","Light",J259="D","Dark")</f>
        <v>Dark</v>
      </c>
      <c r="P259" t="str">
        <f>_xlfn.XLOOKUP(Orders[[#This Row],[Customer ID]],customers!$A$1:$A$1001,customers!$I$1:$I$1001,,0)</f>
        <v>Yes</v>
      </c>
    </row>
    <row r="260" spans="1:16" x14ac:dyDescent="0.35">
      <c r="A260" s="2" t="s">
        <v>1946</v>
      </c>
      <c r="B260" s="5">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6">
        <f>INDEX(products!$A$1:$G$49,MATCH(orders!$D260,products!$A$1:$A$49,0),MATCH(K$1,products!$A$1:$G$1,0))</f>
        <v>2.5</v>
      </c>
      <c r="L260" s="7">
        <f>INDEX(products!$A$1:$G$49,MATCH(orders!$D260,products!$A$1:$A$49,0),MATCH(L$1,products!$A$1:$G$1,0))</f>
        <v>27.945</v>
      </c>
      <c r="M260" s="7">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ID]],customers!$A$1:$A$1001,customers!$I$1:$I$1001,,0)</f>
        <v>No</v>
      </c>
    </row>
    <row r="261" spans="1:16" x14ac:dyDescent="0.35">
      <c r="A261" s="2" t="s">
        <v>1952</v>
      </c>
      <c r="B261" s="5">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6">
        <f>INDEX(products!$A$1:$G$49,MATCH(orders!$D261,products!$A$1:$A$49,0),MATCH(K$1,products!$A$1:$G$1,0))</f>
        <v>0.2</v>
      </c>
      <c r="L261" s="7">
        <f>INDEX(products!$A$1:$G$49,MATCH(orders!$D261,products!$A$1:$A$49,0),MATCH(L$1,products!$A$1:$G$1,0))</f>
        <v>2.9849999999999999</v>
      </c>
      <c r="M261" s="7">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ID]],customers!$A$1:$A$1001,customers!$I$1:$I$1001,,0)</f>
        <v>No</v>
      </c>
    </row>
    <row r="262" spans="1:16" x14ac:dyDescent="0.35">
      <c r="A262" s="2" t="s">
        <v>1958</v>
      </c>
      <c r="B262" s="5">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6">
        <f>INDEX(products!$A$1:$G$49,MATCH(orders!$D262,products!$A$1:$A$49,0),MATCH(K$1,products!$A$1:$G$1,0))</f>
        <v>2.5</v>
      </c>
      <c r="L262" s="7">
        <f>INDEX(products!$A$1:$G$49,MATCH(orders!$D262,products!$A$1:$A$49,0),MATCH(L$1,products!$A$1:$G$1,0))</f>
        <v>27.484999999999996</v>
      </c>
      <c r="M262" s="7">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ID]],customers!$A$1:$A$1001,customers!$I$1:$I$1001,,0)</f>
        <v>Yes</v>
      </c>
    </row>
    <row r="263" spans="1:16" x14ac:dyDescent="0.35">
      <c r="A263" s="2" t="s">
        <v>1963</v>
      </c>
      <c r="B263" s="5">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6">
        <f>INDEX(products!$A$1:$G$49,MATCH(orders!$D263,products!$A$1:$A$49,0),MATCH(K$1,products!$A$1:$G$1,0))</f>
        <v>1</v>
      </c>
      <c r="L263" s="7">
        <f>INDEX(products!$A$1:$G$49,MATCH(orders!$D263,products!$A$1:$A$49,0),MATCH(L$1,products!$A$1:$G$1,0))</f>
        <v>11.95</v>
      </c>
      <c r="M263" s="7">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ID]],customers!$A$1:$A$1001,customers!$I$1:$I$1001,,0)</f>
        <v>Yes</v>
      </c>
    </row>
    <row r="264" spans="1:16" x14ac:dyDescent="0.35">
      <c r="A264" s="2" t="s">
        <v>1969</v>
      </c>
      <c r="B264" s="5">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6">
        <f>INDEX(products!$A$1:$G$49,MATCH(orders!$D264,products!$A$1:$A$49,0),MATCH(K$1,products!$A$1:$G$1,0))</f>
        <v>1</v>
      </c>
      <c r="L264" s="7">
        <f>INDEX(products!$A$1:$G$49,MATCH(orders!$D264,products!$A$1:$A$49,0),MATCH(L$1,products!$A$1:$G$1,0))</f>
        <v>13.75</v>
      </c>
      <c r="M264" s="7">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ID]],customers!$A$1:$A$1001,customers!$I$1:$I$1001,,0)</f>
        <v>No</v>
      </c>
    </row>
    <row r="265" spans="1:16" x14ac:dyDescent="0.35">
      <c r="A265" s="2" t="s">
        <v>1975</v>
      </c>
      <c r="B265" s="5">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6">
        <f>INDEX(products!$A$1:$G$49,MATCH(orders!$D265,products!$A$1:$A$49,0),MATCH(K$1,products!$A$1:$G$1,0))</f>
        <v>2.5</v>
      </c>
      <c r="L265" s="7">
        <f>INDEX(products!$A$1:$G$49,MATCH(orders!$D265,products!$A$1:$A$49,0),MATCH(L$1,products!$A$1:$G$1,0))</f>
        <v>33.464999999999996</v>
      </c>
      <c r="M265" s="7">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ID]],customers!$A$1:$A$1001,customers!$I$1:$I$1001,,0)</f>
        <v>No</v>
      </c>
    </row>
    <row r="266" spans="1:16" x14ac:dyDescent="0.35">
      <c r="A266" s="2" t="s">
        <v>1980</v>
      </c>
      <c r="B266" s="5">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6">
        <f>INDEX(products!$A$1:$G$49,MATCH(orders!$D266,products!$A$1:$A$49,0),MATCH(K$1,products!$A$1:$G$1,0))</f>
        <v>1</v>
      </c>
      <c r="L266" s="7">
        <f>INDEX(products!$A$1:$G$49,MATCH(orders!$D266,products!$A$1:$A$49,0),MATCH(L$1,products!$A$1:$G$1,0))</f>
        <v>11.95</v>
      </c>
      <c r="M266" s="7">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ID]],customers!$A$1:$A$1001,customers!$I$1:$I$1001,,0)</f>
        <v>Yes</v>
      </c>
    </row>
    <row r="267" spans="1:16" x14ac:dyDescent="0.35">
      <c r="A267" s="2" t="s">
        <v>1986</v>
      </c>
      <c r="B267" s="5">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6">
        <f>INDEX(products!$A$1:$G$49,MATCH(orders!$D267,products!$A$1:$A$49,0),MATCH(K$1,products!$A$1:$G$1,0))</f>
        <v>0.5</v>
      </c>
      <c r="L267" s="7">
        <f>INDEX(products!$A$1:$G$49,MATCH(orders!$D267,products!$A$1:$A$49,0),MATCH(L$1,products!$A$1:$G$1,0))</f>
        <v>5.97</v>
      </c>
      <c r="M267" s="7">
        <f t="shared" si="4"/>
        <v>5.97</v>
      </c>
      <c r="N267" t="str" cm="1">
        <f t="array" ref="N267">_xlfn.IFS(I267="Rob","Robusta",I267="Exc","Excelsa",I267="Ara","Arabica",I267="Lib","Liberica")</f>
        <v>Arabica</v>
      </c>
      <c r="O267" t="str" cm="1">
        <f t="array" ref="O267">_xlfn.IFS(J267="M","Medium",J267="L","Light",J267="D","Dark")</f>
        <v>Dark</v>
      </c>
      <c r="P267" t="str">
        <f>_xlfn.XLOOKUP(Orders[[#This Row],[Customer ID]],customers!$A$1:$A$1001,customers!$I$1:$I$1001,,0)</f>
        <v>Yes</v>
      </c>
    </row>
    <row r="268" spans="1:16" x14ac:dyDescent="0.35">
      <c r="A268" s="2" t="s">
        <v>1992</v>
      </c>
      <c r="B268" s="5">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6">
        <f>INDEX(products!$A$1:$G$49,MATCH(orders!$D268,products!$A$1:$A$49,0),MATCH(K$1,products!$A$1:$G$1,0))</f>
        <v>1</v>
      </c>
      <c r="L268" s="7">
        <f>INDEX(products!$A$1:$G$49,MATCH(orders!$D268,products!$A$1:$A$49,0),MATCH(L$1,products!$A$1:$G$1,0))</f>
        <v>12.15</v>
      </c>
      <c r="M268" s="7">
        <f t="shared" si="4"/>
        <v>24.3</v>
      </c>
      <c r="N268" t="str" cm="1">
        <f t="array" ref="N268">_xlfn.IFS(I268="Rob","Robusta",I268="Exc","Excelsa",I268="Ara","Arabica",I268="Lib","Liberica")</f>
        <v>Excelsa</v>
      </c>
      <c r="O268" t="str" cm="1">
        <f t="array" ref="O268">_xlfn.IFS(J268="M","Medium",J268="L","Light",J268="D","Dark")</f>
        <v>Dark</v>
      </c>
      <c r="P268" t="str">
        <f>_xlfn.XLOOKUP(Orders[[#This Row],[Customer ID]],customers!$A$1:$A$1001,customers!$I$1:$I$1001,,0)</f>
        <v>No</v>
      </c>
    </row>
    <row r="269" spans="1:16" x14ac:dyDescent="0.35">
      <c r="A269" s="2" t="s">
        <v>1998</v>
      </c>
      <c r="B269" s="5">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6">
        <f>INDEX(products!$A$1:$G$49,MATCH(orders!$D269,products!$A$1:$A$49,0),MATCH(K$1,products!$A$1:$G$1,0))</f>
        <v>0.2</v>
      </c>
      <c r="L269" s="7">
        <f>INDEX(products!$A$1:$G$49,MATCH(orders!$D269,products!$A$1:$A$49,0),MATCH(L$1,products!$A$1:$G$1,0))</f>
        <v>3.645</v>
      </c>
      <c r="M269" s="7">
        <f t="shared" si="4"/>
        <v>21.87</v>
      </c>
      <c r="N269" t="str" cm="1">
        <f t="array" ref="N269">_xlfn.IFS(I269="Rob","Robusta",I269="Exc","Excelsa",I269="Ara","Arabica",I269="Lib","Liberica")</f>
        <v>Excelsa</v>
      </c>
      <c r="O269" t="str" cm="1">
        <f t="array" ref="O269">_xlfn.IFS(J269="M","Medium",J269="L","Light",J269="D","Dark")</f>
        <v>Dark</v>
      </c>
      <c r="P269" t="str">
        <f>_xlfn.XLOOKUP(Orders[[#This Row],[Customer ID]],customers!$A$1:$A$1001,customers!$I$1:$I$1001,,0)</f>
        <v>Yes</v>
      </c>
    </row>
    <row r="270" spans="1:16" x14ac:dyDescent="0.35">
      <c r="A270" s="2" t="s">
        <v>2004</v>
      </c>
      <c r="B270" s="5">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6">
        <f>INDEX(products!$A$1:$G$49,MATCH(orders!$D270,products!$A$1:$A$49,0),MATCH(K$1,products!$A$1:$G$1,0))</f>
        <v>1</v>
      </c>
      <c r="L270" s="7">
        <f>INDEX(products!$A$1:$G$49,MATCH(orders!$D270,products!$A$1:$A$49,0),MATCH(L$1,products!$A$1:$G$1,0))</f>
        <v>9.9499999999999993</v>
      </c>
      <c r="M270" s="7">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ID]],customers!$A$1:$A$1001,customers!$I$1:$I$1001,,0)</f>
        <v>Yes</v>
      </c>
    </row>
    <row r="271" spans="1:16" x14ac:dyDescent="0.35">
      <c r="A271" s="2" t="s">
        <v>2009</v>
      </c>
      <c r="B271" s="5">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6">
        <f>INDEX(products!$A$1:$G$49,MATCH(orders!$D271,products!$A$1:$A$49,0),MATCH(K$1,products!$A$1:$G$1,0))</f>
        <v>0.2</v>
      </c>
      <c r="L271" s="7">
        <f>INDEX(products!$A$1:$G$49,MATCH(orders!$D271,products!$A$1:$A$49,0),MATCH(L$1,products!$A$1:$G$1,0))</f>
        <v>2.9849999999999999</v>
      </c>
      <c r="M271" s="7">
        <f t="shared" si="4"/>
        <v>5.97</v>
      </c>
      <c r="N271" t="str" cm="1">
        <f t="array" ref="N271">_xlfn.IFS(I271="Rob","Robusta",I271="Exc","Excelsa",I271="Ara","Arabica",I271="Lib","Liberica")</f>
        <v>Arabica</v>
      </c>
      <c r="O271" t="str" cm="1">
        <f t="array" ref="O271">_xlfn.IFS(J271="M","Medium",J271="L","Light",J271="D","Dark")</f>
        <v>Dark</v>
      </c>
      <c r="P271" t="str">
        <f>_xlfn.XLOOKUP(Orders[[#This Row],[Customer ID]],customers!$A$1:$A$1001,customers!$I$1:$I$1001,,0)</f>
        <v>No</v>
      </c>
    </row>
    <row r="272" spans="1:16" x14ac:dyDescent="0.35">
      <c r="A272" s="2" t="s">
        <v>2015</v>
      </c>
      <c r="B272" s="5">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6">
        <f>INDEX(products!$A$1:$G$49,MATCH(orders!$D272,products!$A$1:$A$49,0),MATCH(K$1,products!$A$1:$G$1,0))</f>
        <v>0.5</v>
      </c>
      <c r="L272" s="7">
        <f>INDEX(products!$A$1:$G$49,MATCH(orders!$D272,products!$A$1:$A$49,0),MATCH(L$1,products!$A$1:$G$1,0))</f>
        <v>7.29</v>
      </c>
      <c r="M272" s="7">
        <f t="shared" si="4"/>
        <v>7.29</v>
      </c>
      <c r="N272" t="str" cm="1">
        <f t="array" ref="N272">_xlfn.IFS(I272="Rob","Robusta",I272="Exc","Excelsa",I272="Ara","Arabica",I272="Lib","Liberica")</f>
        <v>Excelsa</v>
      </c>
      <c r="O272" t="str" cm="1">
        <f t="array" ref="O272">_xlfn.IFS(J272="M","Medium",J272="L","Light",J272="D","Dark")</f>
        <v>Dark</v>
      </c>
      <c r="P272" t="str">
        <f>_xlfn.XLOOKUP(Orders[[#This Row],[Customer ID]],customers!$A$1:$A$1001,customers!$I$1:$I$1001,,0)</f>
        <v>Yes</v>
      </c>
    </row>
    <row r="273" spans="1:16" x14ac:dyDescent="0.35">
      <c r="A273" s="2" t="s">
        <v>2019</v>
      </c>
      <c r="B273" s="5">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6">
        <f>INDEX(products!$A$1:$G$49,MATCH(orders!$D273,products!$A$1:$A$49,0),MATCH(K$1,products!$A$1:$G$1,0))</f>
        <v>0.2</v>
      </c>
      <c r="L273" s="7">
        <f>INDEX(products!$A$1:$G$49,MATCH(orders!$D273,products!$A$1:$A$49,0),MATCH(L$1,products!$A$1:$G$1,0))</f>
        <v>2.9849999999999999</v>
      </c>
      <c r="M273" s="7">
        <f t="shared" si="4"/>
        <v>11.94</v>
      </c>
      <c r="N273" t="str" cm="1">
        <f t="array" ref="N273">_xlfn.IFS(I273="Rob","Robusta",I273="Exc","Excelsa",I273="Ara","Arabica",I273="Lib","Liberica")</f>
        <v>Arabica</v>
      </c>
      <c r="O273" t="str" cm="1">
        <f t="array" ref="O273">_xlfn.IFS(J273="M","Medium",J273="L","Light",J273="D","Dark")</f>
        <v>Dark</v>
      </c>
      <c r="P273" t="str">
        <f>_xlfn.XLOOKUP(Orders[[#This Row],[Customer ID]],customers!$A$1:$A$1001,customers!$I$1:$I$1001,,0)</f>
        <v>Yes</v>
      </c>
    </row>
    <row r="274" spans="1:16" x14ac:dyDescent="0.35">
      <c r="A274" s="2" t="s">
        <v>2025</v>
      </c>
      <c r="B274" s="5">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6">
        <f>INDEX(products!$A$1:$G$49,MATCH(orders!$D274,products!$A$1:$A$49,0),MATCH(K$1,products!$A$1:$G$1,0))</f>
        <v>1</v>
      </c>
      <c r="L274" s="7">
        <f>INDEX(products!$A$1:$G$49,MATCH(orders!$D274,products!$A$1:$A$49,0),MATCH(L$1,products!$A$1:$G$1,0))</f>
        <v>11.95</v>
      </c>
      <c r="M274" s="7">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ID]],customers!$A$1:$A$1001,customers!$I$1:$I$1001,,0)</f>
        <v>Yes</v>
      </c>
    </row>
    <row r="275" spans="1:16" x14ac:dyDescent="0.35">
      <c r="A275" s="2" t="s">
        <v>2032</v>
      </c>
      <c r="B275" s="5">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6">
        <f>INDEX(products!$A$1:$G$49,MATCH(orders!$D275,products!$A$1:$A$49,0),MATCH(K$1,products!$A$1:$G$1,0))</f>
        <v>0.2</v>
      </c>
      <c r="L275" s="7">
        <f>INDEX(products!$A$1:$G$49,MATCH(orders!$D275,products!$A$1:$A$49,0),MATCH(L$1,products!$A$1:$G$1,0))</f>
        <v>3.8849999999999998</v>
      </c>
      <c r="M275" s="7">
        <f t="shared" si="4"/>
        <v>7.77</v>
      </c>
      <c r="N275" t="str" cm="1">
        <f t="array" ref="N275">_xlfn.IFS(I275="Rob","Robusta",I275="Exc","Excelsa",I275="Ara","Arabica",I275="Lib","Liberica")</f>
        <v>Arabica</v>
      </c>
      <c r="O275" t="str" cm="1">
        <f t="array" ref="O275">_xlfn.IFS(J275="M","Medium",J275="L","Light",J275="D","Dark")</f>
        <v>Light</v>
      </c>
      <c r="P275" t="str">
        <f>_xlfn.XLOOKUP(Orders[[#This Row],[Customer ID]],customers!$A$1:$A$1001,customers!$I$1:$I$1001,,0)</f>
        <v>No</v>
      </c>
    </row>
    <row r="276" spans="1:16" x14ac:dyDescent="0.35">
      <c r="A276" s="2" t="s">
        <v>2038</v>
      </c>
      <c r="B276" s="5">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6">
        <f>INDEX(products!$A$1:$G$49,MATCH(orders!$D276,products!$A$1:$A$49,0),MATCH(K$1,products!$A$1:$G$1,0))</f>
        <v>2.5</v>
      </c>
      <c r="L276" s="7">
        <f>INDEX(products!$A$1:$G$49,MATCH(orders!$D276,products!$A$1:$A$49,0),MATCH(L$1,products!$A$1:$G$1,0))</f>
        <v>25.874999999999996</v>
      </c>
      <c r="M276" s="7">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ID]],customers!$A$1:$A$1001,customers!$I$1:$I$1001,,0)</f>
        <v>No</v>
      </c>
    </row>
    <row r="277" spans="1:16" x14ac:dyDescent="0.35">
      <c r="A277" s="2" t="s">
        <v>2044</v>
      </c>
      <c r="B277" s="5">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6">
        <f>INDEX(products!$A$1:$G$49,MATCH(orders!$D277,products!$A$1:$A$49,0),MATCH(K$1,products!$A$1:$G$1,0))</f>
        <v>2.5</v>
      </c>
      <c r="L277" s="7">
        <f>INDEX(products!$A$1:$G$49,MATCH(orders!$D277,products!$A$1:$A$49,0),MATCH(L$1,products!$A$1:$G$1,0))</f>
        <v>34.154999999999994</v>
      </c>
      <c r="M277" s="7">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ID]],customers!$A$1:$A$1001,customers!$I$1:$I$1001,,0)</f>
        <v>No</v>
      </c>
    </row>
    <row r="278" spans="1:16" x14ac:dyDescent="0.35">
      <c r="A278" s="2" t="s">
        <v>2050</v>
      </c>
      <c r="B278" s="5">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6">
        <f>INDEX(products!$A$1:$G$49,MATCH(orders!$D278,products!$A$1:$A$49,0),MATCH(K$1,products!$A$1:$G$1,0))</f>
        <v>2.5</v>
      </c>
      <c r="L278" s="7">
        <f>INDEX(products!$A$1:$G$49,MATCH(orders!$D278,products!$A$1:$A$49,0),MATCH(L$1,products!$A$1:$G$1,0))</f>
        <v>27.484999999999996</v>
      </c>
      <c r="M278" s="7">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ID]],customers!$A$1:$A$1001,customers!$I$1:$I$1001,,0)</f>
        <v>Yes</v>
      </c>
    </row>
    <row r="279" spans="1:16" x14ac:dyDescent="0.35">
      <c r="A279" s="2" t="s">
        <v>2056</v>
      </c>
      <c r="B279" s="5">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6">
        <f>INDEX(products!$A$1:$G$49,MATCH(orders!$D279,products!$A$1:$A$49,0),MATCH(K$1,products!$A$1:$G$1,0))</f>
        <v>1</v>
      </c>
      <c r="L279" s="7">
        <f>INDEX(products!$A$1:$G$49,MATCH(orders!$D279,products!$A$1:$A$49,0),MATCH(L$1,products!$A$1:$G$1,0))</f>
        <v>14.85</v>
      </c>
      <c r="M279" s="7">
        <f t="shared" si="4"/>
        <v>89.1</v>
      </c>
      <c r="N279" t="str" cm="1">
        <f t="array" ref="N279">_xlfn.IFS(I279="Rob","Robusta",I279="Exc","Excelsa",I279="Ara","Arabica",I279="Lib","Liberica")</f>
        <v>Excelsa</v>
      </c>
      <c r="O279" t="str" cm="1">
        <f t="array" ref="O279">_xlfn.IFS(J279="M","Medium",J279="L","Light",J279="D","Dark")</f>
        <v>Light</v>
      </c>
      <c r="P279" t="str">
        <f>_xlfn.XLOOKUP(Orders[[#This Row],[Customer ID]],customers!$A$1:$A$1001,customers!$I$1:$I$1001,,0)</f>
        <v>No</v>
      </c>
    </row>
    <row r="280" spans="1:16" x14ac:dyDescent="0.35">
      <c r="A280" s="2" t="s">
        <v>2062</v>
      </c>
      <c r="B280" s="5">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6">
        <f>INDEX(products!$A$1:$G$49,MATCH(orders!$D280,products!$A$1:$A$49,0),MATCH(K$1,products!$A$1:$G$1,0))</f>
        <v>0.2</v>
      </c>
      <c r="L280" s="7">
        <f>INDEX(products!$A$1:$G$49,MATCH(orders!$D280,products!$A$1:$A$49,0),MATCH(L$1,products!$A$1:$G$1,0))</f>
        <v>3.8849999999999998</v>
      </c>
      <c r="M280" s="7">
        <f t="shared" si="4"/>
        <v>7.77</v>
      </c>
      <c r="N280" t="str" cm="1">
        <f t="array" ref="N280">_xlfn.IFS(I280="Rob","Robusta",I280="Exc","Excelsa",I280="Ara","Arabica",I280="Lib","Liberica")</f>
        <v>Arabica</v>
      </c>
      <c r="O280" t="str" cm="1">
        <f t="array" ref="O280">_xlfn.IFS(J280="M","Medium",J280="L","Light",J280="D","Dark")</f>
        <v>Light</v>
      </c>
      <c r="P280" t="str">
        <f>_xlfn.XLOOKUP(Orders[[#This Row],[Customer ID]],customers!$A$1:$A$1001,customers!$I$1:$I$1001,,0)</f>
        <v>Yes</v>
      </c>
    </row>
    <row r="281" spans="1:16" x14ac:dyDescent="0.35">
      <c r="A281" s="2" t="s">
        <v>2068</v>
      </c>
      <c r="B281" s="5">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6">
        <f>INDEX(products!$A$1:$G$49,MATCH(orders!$D281,products!$A$1:$A$49,0),MATCH(K$1,products!$A$1:$G$1,0))</f>
        <v>2.5</v>
      </c>
      <c r="L281" s="7">
        <f>INDEX(products!$A$1:$G$49,MATCH(orders!$D281,products!$A$1:$A$49,0),MATCH(L$1,products!$A$1:$G$1,0))</f>
        <v>33.464999999999996</v>
      </c>
      <c r="M281" s="7">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ID]],customers!$A$1:$A$1001,customers!$I$1:$I$1001,,0)</f>
        <v>Yes</v>
      </c>
    </row>
    <row r="282" spans="1:16" x14ac:dyDescent="0.35">
      <c r="A282" s="2" t="s">
        <v>2074</v>
      </c>
      <c r="B282" s="5">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6">
        <f>INDEX(products!$A$1:$G$49,MATCH(orders!$D282,products!$A$1:$A$49,0),MATCH(K$1,products!$A$1:$G$1,0))</f>
        <v>0.5</v>
      </c>
      <c r="L282" s="7">
        <f>INDEX(products!$A$1:$G$49,MATCH(orders!$D282,products!$A$1:$A$49,0),MATCH(L$1,products!$A$1:$G$1,0))</f>
        <v>8.25</v>
      </c>
      <c r="M282" s="7">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ID]],customers!$A$1:$A$1001,customers!$I$1:$I$1001,,0)</f>
        <v>Yes</v>
      </c>
    </row>
    <row r="283" spans="1:16" x14ac:dyDescent="0.35">
      <c r="A283" s="2" t="s">
        <v>2079</v>
      </c>
      <c r="B283" s="5">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6">
        <f>INDEX(products!$A$1:$G$49,MATCH(orders!$D283,products!$A$1:$A$49,0),MATCH(K$1,products!$A$1:$G$1,0))</f>
        <v>1</v>
      </c>
      <c r="L283" s="7">
        <f>INDEX(products!$A$1:$G$49,MATCH(orders!$D283,products!$A$1:$A$49,0),MATCH(L$1,products!$A$1:$G$1,0))</f>
        <v>14.85</v>
      </c>
      <c r="M283" s="7">
        <f t="shared" si="4"/>
        <v>59.4</v>
      </c>
      <c r="N283" t="str" cm="1">
        <f t="array" ref="N283">_xlfn.IFS(I283="Rob","Robusta",I283="Exc","Excelsa",I283="Ara","Arabica",I283="Lib","Liberica")</f>
        <v>Excelsa</v>
      </c>
      <c r="O283" t="str" cm="1">
        <f t="array" ref="O283">_xlfn.IFS(J283="M","Medium",J283="L","Light",J283="D","Dark")</f>
        <v>Light</v>
      </c>
      <c r="P283" t="str">
        <f>_xlfn.XLOOKUP(Orders[[#This Row],[Customer ID]],customers!$A$1:$A$1001,customers!$I$1:$I$1001,,0)</f>
        <v>Yes</v>
      </c>
    </row>
    <row r="284" spans="1:16" x14ac:dyDescent="0.35">
      <c r="A284" s="2" t="s">
        <v>2085</v>
      </c>
      <c r="B284" s="5">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6">
        <f>INDEX(products!$A$1:$G$49,MATCH(orders!$D284,products!$A$1:$A$49,0),MATCH(K$1,products!$A$1:$G$1,0))</f>
        <v>0.5</v>
      </c>
      <c r="L284" s="7">
        <f>INDEX(products!$A$1:$G$49,MATCH(orders!$D284,products!$A$1:$A$49,0),MATCH(L$1,products!$A$1:$G$1,0))</f>
        <v>7.77</v>
      </c>
      <c r="M284" s="7">
        <f t="shared" si="4"/>
        <v>7.77</v>
      </c>
      <c r="N284" t="str" cm="1">
        <f t="array" ref="N284">_xlfn.IFS(I284="Rob","Robusta",I284="Exc","Excelsa",I284="Ara","Arabica",I284="Lib","Liberica")</f>
        <v>Arabica</v>
      </c>
      <c r="O284" t="str" cm="1">
        <f t="array" ref="O284">_xlfn.IFS(J284="M","Medium",J284="L","Light",J284="D","Dark")</f>
        <v>Light</v>
      </c>
      <c r="P284" t="str">
        <f>_xlfn.XLOOKUP(Orders[[#This Row],[Customer ID]],customers!$A$1:$A$1001,customers!$I$1:$I$1001,,0)</f>
        <v>No</v>
      </c>
    </row>
    <row r="285" spans="1:16" x14ac:dyDescent="0.35">
      <c r="A285" s="2" t="s">
        <v>2091</v>
      </c>
      <c r="B285" s="5">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6">
        <f>INDEX(products!$A$1:$G$49,MATCH(orders!$D285,products!$A$1:$A$49,0),MATCH(K$1,products!$A$1:$G$1,0))</f>
        <v>0.5</v>
      </c>
      <c r="L285" s="7">
        <f>INDEX(products!$A$1:$G$49,MATCH(orders!$D285,products!$A$1:$A$49,0),MATCH(L$1,products!$A$1:$G$1,0))</f>
        <v>5.3699999999999992</v>
      </c>
      <c r="M285" s="7">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ID]],customers!$A$1:$A$1001,customers!$I$1:$I$1001,,0)</f>
        <v>Yes</v>
      </c>
    </row>
    <row r="286" spans="1:16" x14ac:dyDescent="0.35">
      <c r="A286" s="2" t="s">
        <v>2097</v>
      </c>
      <c r="B286" s="5">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6">
        <f>INDEX(products!$A$1:$G$49,MATCH(orders!$D286,products!$A$1:$A$49,0),MATCH(K$1,products!$A$1:$G$1,0))</f>
        <v>2.5</v>
      </c>
      <c r="L286" s="7">
        <f>INDEX(products!$A$1:$G$49,MATCH(orders!$D286,products!$A$1:$A$49,0),MATCH(L$1,products!$A$1:$G$1,0))</f>
        <v>31.624999999999996</v>
      </c>
      <c r="M286" s="7">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ID]],customers!$A$1:$A$1001,customers!$I$1:$I$1001,,0)</f>
        <v>No</v>
      </c>
    </row>
    <row r="287" spans="1:16" x14ac:dyDescent="0.35">
      <c r="A287" s="2" t="s">
        <v>2102</v>
      </c>
      <c r="B287" s="5">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6">
        <f>INDEX(products!$A$1:$G$49,MATCH(orders!$D287,products!$A$1:$A$49,0),MATCH(K$1,products!$A$1:$G$1,0))</f>
        <v>2.5</v>
      </c>
      <c r="L287" s="7">
        <f>INDEX(products!$A$1:$G$49,MATCH(orders!$D287,products!$A$1:$A$49,0),MATCH(L$1,products!$A$1:$G$1,0))</f>
        <v>36.454999999999998</v>
      </c>
      <c r="M287" s="7">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ID]],customers!$A$1:$A$1001,customers!$I$1:$I$1001,,0)</f>
        <v>No</v>
      </c>
    </row>
    <row r="288" spans="1:16" x14ac:dyDescent="0.35">
      <c r="A288" s="2" t="s">
        <v>2107</v>
      </c>
      <c r="B288" s="5">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6">
        <f>INDEX(products!$A$1:$G$49,MATCH(orders!$D288,products!$A$1:$A$49,0),MATCH(K$1,products!$A$1:$G$1,0))</f>
        <v>0.2</v>
      </c>
      <c r="L288" s="7">
        <f>INDEX(products!$A$1:$G$49,MATCH(orders!$D288,products!$A$1:$A$49,0),MATCH(L$1,products!$A$1:$G$1,0))</f>
        <v>3.375</v>
      </c>
      <c r="M288" s="7">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ID]],customers!$A$1:$A$1001,customers!$I$1:$I$1001,,0)</f>
        <v>Yes</v>
      </c>
    </row>
    <row r="289" spans="1:16" x14ac:dyDescent="0.35">
      <c r="A289" s="2" t="s">
        <v>2112</v>
      </c>
      <c r="B289" s="5">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6">
        <f>INDEX(products!$A$1:$G$49,MATCH(orders!$D289,products!$A$1:$A$49,0),MATCH(K$1,products!$A$1:$G$1,0))</f>
        <v>0.2</v>
      </c>
      <c r="L289" s="7">
        <f>INDEX(products!$A$1:$G$49,MATCH(orders!$D289,products!$A$1:$A$49,0),MATCH(L$1,products!$A$1:$G$1,0))</f>
        <v>3.5849999999999995</v>
      </c>
      <c r="M289" s="7">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ID]],customers!$A$1:$A$1001,customers!$I$1:$I$1001,,0)</f>
        <v>No</v>
      </c>
    </row>
    <row r="290" spans="1:16" x14ac:dyDescent="0.35">
      <c r="A290" s="2" t="s">
        <v>2118</v>
      </c>
      <c r="B290" s="5">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6">
        <f>INDEX(products!$A$1:$G$49,MATCH(orders!$D290,products!$A$1:$A$49,0),MATCH(K$1,products!$A$1:$G$1,0))</f>
        <v>0.5</v>
      </c>
      <c r="L290" s="7">
        <f>INDEX(products!$A$1:$G$49,MATCH(orders!$D290,products!$A$1:$A$49,0),MATCH(L$1,products!$A$1:$G$1,0))</f>
        <v>8.25</v>
      </c>
      <c r="M290" s="7">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ID]],customers!$A$1:$A$1001,customers!$I$1:$I$1001,,0)</f>
        <v>Yes</v>
      </c>
    </row>
    <row r="291" spans="1:16" x14ac:dyDescent="0.35">
      <c r="A291" s="2" t="s">
        <v>2123</v>
      </c>
      <c r="B291" s="5">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6">
        <f>INDEX(products!$A$1:$G$49,MATCH(orders!$D291,products!$A$1:$A$49,0),MATCH(K$1,products!$A$1:$G$1,0))</f>
        <v>0.2</v>
      </c>
      <c r="L291" s="7">
        <f>INDEX(products!$A$1:$G$49,MATCH(orders!$D291,products!$A$1:$A$49,0),MATCH(L$1,products!$A$1:$G$1,0))</f>
        <v>2.6849999999999996</v>
      </c>
      <c r="M291" s="7">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ID]],customers!$A$1:$A$1001,customers!$I$1:$I$1001,,0)</f>
        <v>Yes</v>
      </c>
    </row>
    <row r="292" spans="1:16" x14ac:dyDescent="0.35">
      <c r="A292" s="2" t="s">
        <v>2127</v>
      </c>
      <c r="B292" s="5">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6">
        <f>INDEX(products!$A$1:$G$49,MATCH(orders!$D292,products!$A$1:$A$49,0),MATCH(K$1,products!$A$1:$G$1,0))</f>
        <v>1</v>
      </c>
      <c r="L292" s="7">
        <f>INDEX(products!$A$1:$G$49,MATCH(orders!$D292,products!$A$1:$A$49,0),MATCH(L$1,products!$A$1:$G$1,0))</f>
        <v>9.9499999999999993</v>
      </c>
      <c r="M292" s="7">
        <f t="shared" si="4"/>
        <v>49.75</v>
      </c>
      <c r="N292" t="str" cm="1">
        <f t="array" ref="N292">_xlfn.IFS(I292="Rob","Robusta",I292="Exc","Excelsa",I292="Ara","Arabica",I292="Lib","Liberica")</f>
        <v>Arabica</v>
      </c>
      <c r="O292" t="str" cm="1">
        <f t="array" ref="O292">_xlfn.IFS(J292="M","Medium",J292="L","Light",J292="D","Dark")</f>
        <v>Dark</v>
      </c>
      <c r="P292" t="str">
        <f>_xlfn.XLOOKUP(Orders[[#This Row],[Customer ID]],customers!$A$1:$A$1001,customers!$I$1:$I$1001,,0)</f>
        <v>No</v>
      </c>
    </row>
    <row r="293" spans="1:16" x14ac:dyDescent="0.35">
      <c r="A293" s="2" t="s">
        <v>2133</v>
      </c>
      <c r="B293" s="5">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6">
        <f>INDEX(products!$A$1:$G$49,MATCH(orders!$D293,products!$A$1:$A$49,0),MATCH(K$1,products!$A$1:$G$1,0))</f>
        <v>0.5</v>
      </c>
      <c r="L293" s="7">
        <f>INDEX(products!$A$1:$G$49,MATCH(orders!$D293,products!$A$1:$A$49,0),MATCH(L$1,products!$A$1:$G$1,0))</f>
        <v>8.25</v>
      </c>
      <c r="M293" s="7">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ID]],customers!$A$1:$A$1001,customers!$I$1:$I$1001,,0)</f>
        <v>No</v>
      </c>
    </row>
    <row r="294" spans="1:16" x14ac:dyDescent="0.35">
      <c r="A294" s="2" t="s">
        <v>2137</v>
      </c>
      <c r="B294" s="5">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6">
        <f>INDEX(products!$A$1:$G$49,MATCH(orders!$D294,products!$A$1:$A$49,0),MATCH(K$1,products!$A$1:$G$1,0))</f>
        <v>0.5</v>
      </c>
      <c r="L294" s="7">
        <f>INDEX(products!$A$1:$G$49,MATCH(orders!$D294,products!$A$1:$A$49,0),MATCH(L$1,products!$A$1:$G$1,0))</f>
        <v>5.97</v>
      </c>
      <c r="M294" s="7">
        <f t="shared" si="4"/>
        <v>17.91</v>
      </c>
      <c r="N294" t="str" cm="1">
        <f t="array" ref="N294">_xlfn.IFS(I294="Rob","Robusta",I294="Exc","Excelsa",I294="Ara","Arabica",I294="Lib","Liberica")</f>
        <v>Arabica</v>
      </c>
      <c r="O294" t="str" cm="1">
        <f t="array" ref="O294">_xlfn.IFS(J294="M","Medium",J294="L","Light",J294="D","Dark")</f>
        <v>Dark</v>
      </c>
      <c r="P294" t="str">
        <f>_xlfn.XLOOKUP(Orders[[#This Row],[Customer ID]],customers!$A$1:$A$1001,customers!$I$1:$I$1001,,0)</f>
        <v>No</v>
      </c>
    </row>
    <row r="295" spans="1:16" x14ac:dyDescent="0.35">
      <c r="A295" s="2" t="s">
        <v>2142</v>
      </c>
      <c r="B295" s="5">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6">
        <f>INDEX(products!$A$1:$G$49,MATCH(orders!$D295,products!$A$1:$A$49,0),MATCH(K$1,products!$A$1:$G$1,0))</f>
        <v>0.5</v>
      </c>
      <c r="L295" s="7">
        <f>INDEX(products!$A$1:$G$49,MATCH(orders!$D295,products!$A$1:$A$49,0),MATCH(L$1,products!$A$1:$G$1,0))</f>
        <v>5.97</v>
      </c>
      <c r="M295" s="7">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ID]],customers!$A$1:$A$1001,customers!$I$1:$I$1001,,0)</f>
        <v>No</v>
      </c>
    </row>
    <row r="296" spans="1:16" x14ac:dyDescent="0.35">
      <c r="A296" s="2" t="s">
        <v>2148</v>
      </c>
      <c r="B296" s="5">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6">
        <f>INDEX(products!$A$1:$G$49,MATCH(orders!$D296,products!$A$1:$A$49,0),MATCH(K$1,products!$A$1:$G$1,0))</f>
        <v>1</v>
      </c>
      <c r="L296" s="7">
        <f>INDEX(products!$A$1:$G$49,MATCH(orders!$D296,products!$A$1:$A$49,0),MATCH(L$1,products!$A$1:$G$1,0))</f>
        <v>14.85</v>
      </c>
      <c r="M296" s="7">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ID]],customers!$A$1:$A$1001,customers!$I$1:$I$1001,,0)</f>
        <v>No</v>
      </c>
    </row>
    <row r="297" spans="1:16" x14ac:dyDescent="0.35">
      <c r="A297" s="2" t="s">
        <v>2153</v>
      </c>
      <c r="B297" s="5">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6">
        <f>INDEX(products!$A$1:$G$49,MATCH(orders!$D297,products!$A$1:$A$49,0),MATCH(K$1,products!$A$1:$G$1,0))</f>
        <v>1</v>
      </c>
      <c r="L297" s="7">
        <f>INDEX(products!$A$1:$G$49,MATCH(orders!$D297,products!$A$1:$A$49,0),MATCH(L$1,products!$A$1:$G$1,0))</f>
        <v>13.75</v>
      </c>
      <c r="M297" s="7">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ID]],customers!$A$1:$A$1001,customers!$I$1:$I$1001,,0)</f>
        <v>No</v>
      </c>
    </row>
    <row r="298" spans="1:16" x14ac:dyDescent="0.35">
      <c r="A298" s="2" t="s">
        <v>2157</v>
      </c>
      <c r="B298" s="5">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6">
        <f>INDEX(products!$A$1:$G$49,MATCH(orders!$D298,products!$A$1:$A$49,0),MATCH(K$1,products!$A$1:$G$1,0))</f>
        <v>0.5</v>
      </c>
      <c r="L298" s="7">
        <f>INDEX(products!$A$1:$G$49,MATCH(orders!$D298,products!$A$1:$A$49,0),MATCH(L$1,products!$A$1:$G$1,0))</f>
        <v>5.97</v>
      </c>
      <c r="M298" s="7">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ID]],customers!$A$1:$A$1001,customers!$I$1:$I$1001,,0)</f>
        <v>Yes</v>
      </c>
    </row>
    <row r="299" spans="1:16" x14ac:dyDescent="0.35">
      <c r="A299" s="2" t="s">
        <v>2163</v>
      </c>
      <c r="B299" s="5">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6">
        <f>INDEX(products!$A$1:$G$49,MATCH(orders!$D299,products!$A$1:$A$49,0),MATCH(K$1,products!$A$1:$G$1,0))</f>
        <v>0.5</v>
      </c>
      <c r="L299" s="7">
        <f>INDEX(products!$A$1:$G$49,MATCH(orders!$D299,products!$A$1:$A$49,0),MATCH(L$1,products!$A$1:$G$1,0))</f>
        <v>5.3699999999999992</v>
      </c>
      <c r="M299" s="7">
        <f t="shared" si="4"/>
        <v>16.11</v>
      </c>
      <c r="N299" t="str" cm="1">
        <f t="array" ref="N299">_xlfn.IFS(I299="Rob","Robusta",I299="Exc","Excelsa",I299="Ara","Arabica",I299="Lib","Liberica")</f>
        <v>Robusta</v>
      </c>
      <c r="O299" t="str" cm="1">
        <f t="array" ref="O299">_xlfn.IFS(J299="M","Medium",J299="L","Light",J299="D","Dark")</f>
        <v>Dark</v>
      </c>
      <c r="P299" t="str">
        <f>_xlfn.XLOOKUP(Orders[[#This Row],[Customer ID]],customers!$A$1:$A$1001,customers!$I$1:$I$1001,,0)</f>
        <v>Yes</v>
      </c>
    </row>
    <row r="300" spans="1:16" x14ac:dyDescent="0.35">
      <c r="A300" s="2" t="s">
        <v>2169</v>
      </c>
      <c r="B300" s="5">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6">
        <f>INDEX(products!$A$1:$G$49,MATCH(orders!$D300,products!$A$1:$A$49,0),MATCH(K$1,products!$A$1:$G$1,0))</f>
        <v>0.2</v>
      </c>
      <c r="L300" s="7">
        <f>INDEX(products!$A$1:$G$49,MATCH(orders!$D300,products!$A$1:$A$49,0),MATCH(L$1,products!$A$1:$G$1,0))</f>
        <v>4.4550000000000001</v>
      </c>
      <c r="M300" s="7">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ID]],customers!$A$1:$A$1001,customers!$I$1:$I$1001,,0)</f>
        <v>Yes</v>
      </c>
    </row>
    <row r="301" spans="1:16" x14ac:dyDescent="0.35">
      <c r="A301" s="2" t="s">
        <v>2175</v>
      </c>
      <c r="B301" s="5">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6">
        <f>INDEX(products!$A$1:$G$49,MATCH(orders!$D301,products!$A$1:$A$49,0),MATCH(K$1,products!$A$1:$G$1,0))</f>
        <v>2.5</v>
      </c>
      <c r="L301" s="7">
        <f>INDEX(products!$A$1:$G$49,MATCH(orders!$D301,products!$A$1:$A$49,0),MATCH(L$1,products!$A$1:$G$1,0))</f>
        <v>34.154999999999994</v>
      </c>
      <c r="M301" s="7">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ID]],customers!$A$1:$A$1001,customers!$I$1:$I$1001,,0)</f>
        <v>Yes</v>
      </c>
    </row>
    <row r="302" spans="1:16" x14ac:dyDescent="0.35">
      <c r="A302" s="2" t="s">
        <v>2181</v>
      </c>
      <c r="B302" s="5">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6">
        <f>INDEX(products!$A$1:$G$49,MATCH(orders!$D302,products!$A$1:$A$49,0),MATCH(K$1,products!$A$1:$G$1,0))</f>
        <v>1</v>
      </c>
      <c r="L302" s="7">
        <f>INDEX(products!$A$1:$G$49,MATCH(orders!$D302,products!$A$1:$A$49,0),MATCH(L$1,products!$A$1:$G$1,0))</f>
        <v>12.95</v>
      </c>
      <c r="M302" s="7">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ID]],customers!$A$1:$A$1001,customers!$I$1:$I$1001,,0)</f>
        <v>Yes</v>
      </c>
    </row>
    <row r="303" spans="1:16" x14ac:dyDescent="0.35">
      <c r="A303" s="2" t="s">
        <v>2187</v>
      </c>
      <c r="B303" s="5">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6">
        <f>INDEX(products!$A$1:$G$49,MATCH(orders!$D303,products!$A$1:$A$49,0),MATCH(K$1,products!$A$1:$G$1,0))</f>
        <v>0.2</v>
      </c>
      <c r="L303" s="7">
        <f>INDEX(products!$A$1:$G$49,MATCH(orders!$D303,products!$A$1:$A$49,0),MATCH(L$1,products!$A$1:$G$1,0))</f>
        <v>3.8849999999999998</v>
      </c>
      <c r="M303" s="7">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ID]],customers!$A$1:$A$1001,customers!$I$1:$I$1001,,0)</f>
        <v>Yes</v>
      </c>
    </row>
    <row r="304" spans="1:16" x14ac:dyDescent="0.35">
      <c r="A304" s="2" t="s">
        <v>2193</v>
      </c>
      <c r="B304" s="5">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6">
        <f>INDEX(products!$A$1:$G$49,MATCH(orders!$D304,products!$A$1:$A$49,0),MATCH(K$1,products!$A$1:$G$1,0))</f>
        <v>0.5</v>
      </c>
      <c r="L304" s="7">
        <f>INDEX(products!$A$1:$G$49,MATCH(orders!$D304,products!$A$1:$A$49,0),MATCH(L$1,products!$A$1:$G$1,0))</f>
        <v>6.75</v>
      </c>
      <c r="M304" s="7">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ID]],customers!$A$1:$A$1001,customers!$I$1:$I$1001,,0)</f>
        <v>No</v>
      </c>
    </row>
    <row r="305" spans="1:16" x14ac:dyDescent="0.35">
      <c r="A305" s="2" t="s">
        <v>2199</v>
      </c>
      <c r="B305" s="5">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6">
        <f>INDEX(products!$A$1:$G$49,MATCH(orders!$D305,products!$A$1:$A$49,0),MATCH(K$1,products!$A$1:$G$1,0))</f>
        <v>2.5</v>
      </c>
      <c r="L305" s="7">
        <f>INDEX(products!$A$1:$G$49,MATCH(orders!$D305,products!$A$1:$A$49,0),MATCH(L$1,products!$A$1:$G$1,0))</f>
        <v>27.945</v>
      </c>
      <c r="M305" s="7">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ID]],customers!$A$1:$A$1001,customers!$I$1:$I$1001,,0)</f>
        <v>Yes</v>
      </c>
    </row>
    <row r="306" spans="1:16" x14ac:dyDescent="0.35">
      <c r="A306" s="2" t="s">
        <v>2204</v>
      </c>
      <c r="B306" s="5">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6">
        <f>INDEX(products!$A$1:$G$49,MATCH(orders!$D306,products!$A$1:$A$49,0),MATCH(K$1,products!$A$1:$G$1,0))</f>
        <v>0.2</v>
      </c>
      <c r="L306" s="7">
        <f>INDEX(products!$A$1:$G$49,MATCH(orders!$D306,products!$A$1:$A$49,0),MATCH(L$1,products!$A$1:$G$1,0))</f>
        <v>3.8849999999999998</v>
      </c>
      <c r="M306" s="7">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ID]],customers!$A$1:$A$1001,customers!$I$1:$I$1001,,0)</f>
        <v>Yes</v>
      </c>
    </row>
    <row r="307" spans="1:16" x14ac:dyDescent="0.35">
      <c r="A307" s="2" t="s">
        <v>2209</v>
      </c>
      <c r="B307" s="5">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6">
        <f>INDEX(products!$A$1:$G$49,MATCH(orders!$D307,products!$A$1:$A$49,0),MATCH(K$1,products!$A$1:$G$1,0))</f>
        <v>0.2</v>
      </c>
      <c r="L307" s="7">
        <f>INDEX(products!$A$1:$G$49,MATCH(orders!$D307,products!$A$1:$A$49,0),MATCH(L$1,products!$A$1:$G$1,0))</f>
        <v>4.3650000000000002</v>
      </c>
      <c r="M307" s="7">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ID]],customers!$A$1:$A$1001,customers!$I$1:$I$1001,,0)</f>
        <v>No</v>
      </c>
    </row>
    <row r="308" spans="1:16" x14ac:dyDescent="0.35">
      <c r="A308" s="2" t="s">
        <v>2215</v>
      </c>
      <c r="B308" s="5">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6">
        <f>INDEX(products!$A$1:$G$49,MATCH(orders!$D308,products!$A$1:$A$49,0),MATCH(K$1,products!$A$1:$G$1,0))</f>
        <v>0.2</v>
      </c>
      <c r="L308" s="7">
        <f>INDEX(products!$A$1:$G$49,MATCH(orders!$D308,products!$A$1:$A$49,0),MATCH(L$1,products!$A$1:$G$1,0))</f>
        <v>2.9849999999999999</v>
      </c>
      <c r="M308" s="7">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ID]],customers!$A$1:$A$1001,customers!$I$1:$I$1001,,0)</f>
        <v>No</v>
      </c>
    </row>
    <row r="309" spans="1:16" x14ac:dyDescent="0.35">
      <c r="A309" s="2" t="s">
        <v>2221</v>
      </c>
      <c r="B309" s="5">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6">
        <f>INDEX(products!$A$1:$G$49,MATCH(orders!$D309,products!$A$1:$A$49,0),MATCH(K$1,products!$A$1:$G$1,0))</f>
        <v>1</v>
      </c>
      <c r="L309" s="7">
        <f>INDEX(products!$A$1:$G$49,MATCH(orders!$D309,products!$A$1:$A$49,0),MATCH(L$1,products!$A$1:$G$1,0))</f>
        <v>11.25</v>
      </c>
      <c r="M309" s="7">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ID]],customers!$A$1:$A$1001,customers!$I$1:$I$1001,,0)</f>
        <v>Yes</v>
      </c>
    </row>
    <row r="310" spans="1:16" x14ac:dyDescent="0.35">
      <c r="A310" s="2" t="s">
        <v>2227</v>
      </c>
      <c r="B310" s="5">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6">
        <f>INDEX(products!$A$1:$G$49,MATCH(orders!$D310,products!$A$1:$A$49,0),MATCH(K$1,products!$A$1:$G$1,0))</f>
        <v>1</v>
      </c>
      <c r="L310" s="7">
        <f>INDEX(products!$A$1:$G$49,MATCH(orders!$D310,products!$A$1:$A$49,0),MATCH(L$1,products!$A$1:$G$1,0))</f>
        <v>11.25</v>
      </c>
      <c r="M310" s="7">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ID]],customers!$A$1:$A$1001,customers!$I$1:$I$1001,,0)</f>
        <v>No</v>
      </c>
    </row>
    <row r="311" spans="1:16" x14ac:dyDescent="0.35">
      <c r="A311" s="2" t="s">
        <v>2232</v>
      </c>
      <c r="B311" s="5">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6">
        <f>INDEX(products!$A$1:$G$49,MATCH(orders!$D311,products!$A$1:$A$49,0),MATCH(K$1,products!$A$1:$G$1,0))</f>
        <v>0.2</v>
      </c>
      <c r="L311" s="7">
        <f>INDEX(products!$A$1:$G$49,MATCH(orders!$D311,products!$A$1:$A$49,0),MATCH(L$1,products!$A$1:$G$1,0))</f>
        <v>4.3650000000000002</v>
      </c>
      <c r="M311" s="7">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ID]],customers!$A$1:$A$1001,customers!$I$1:$I$1001,,0)</f>
        <v>Yes</v>
      </c>
    </row>
    <row r="312" spans="1:16" x14ac:dyDescent="0.35">
      <c r="A312" s="2" t="s">
        <v>2238</v>
      </c>
      <c r="B312" s="5">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6">
        <f>INDEX(products!$A$1:$G$49,MATCH(orders!$D312,products!$A$1:$A$49,0),MATCH(K$1,products!$A$1:$G$1,0))</f>
        <v>1</v>
      </c>
      <c r="L312" s="7">
        <f>INDEX(products!$A$1:$G$49,MATCH(orders!$D312,products!$A$1:$A$49,0),MATCH(L$1,products!$A$1:$G$1,0))</f>
        <v>14.85</v>
      </c>
      <c r="M312" s="7">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ID]],customers!$A$1:$A$1001,customers!$I$1:$I$1001,,0)</f>
        <v>No</v>
      </c>
    </row>
    <row r="313" spans="1:16" x14ac:dyDescent="0.35">
      <c r="A313" s="2" t="s">
        <v>2244</v>
      </c>
      <c r="B313" s="5">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6">
        <f>INDEX(products!$A$1:$G$49,MATCH(orders!$D313,products!$A$1:$A$49,0),MATCH(K$1,products!$A$1:$G$1,0))</f>
        <v>2.5</v>
      </c>
      <c r="L313" s="7">
        <f>INDEX(products!$A$1:$G$49,MATCH(orders!$D313,products!$A$1:$A$49,0),MATCH(L$1,products!$A$1:$G$1,0))</f>
        <v>31.624999999999996</v>
      </c>
      <c r="M313" s="7">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ID]],customers!$A$1:$A$1001,customers!$I$1:$I$1001,,0)</f>
        <v>Yes</v>
      </c>
    </row>
    <row r="314" spans="1:16" x14ac:dyDescent="0.35">
      <c r="A314" s="2" t="s">
        <v>2250</v>
      </c>
      <c r="B314" s="5">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6">
        <f>INDEX(products!$A$1:$G$49,MATCH(orders!$D314,products!$A$1:$A$49,0),MATCH(K$1,products!$A$1:$G$1,0))</f>
        <v>0.5</v>
      </c>
      <c r="L314" s="7">
        <f>INDEX(products!$A$1:$G$49,MATCH(orders!$D314,products!$A$1:$A$49,0),MATCH(L$1,products!$A$1:$G$1,0))</f>
        <v>5.97</v>
      </c>
      <c r="M314" s="7">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ID]],customers!$A$1:$A$1001,customers!$I$1:$I$1001,,0)</f>
        <v>Yes</v>
      </c>
    </row>
    <row r="315" spans="1:16" x14ac:dyDescent="0.35">
      <c r="A315" s="2" t="s">
        <v>2256</v>
      </c>
      <c r="B315" s="5">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6">
        <f>INDEX(products!$A$1:$G$49,MATCH(orders!$D315,products!$A$1:$A$49,0),MATCH(K$1,products!$A$1:$G$1,0))</f>
        <v>1</v>
      </c>
      <c r="L315" s="7">
        <f>INDEX(products!$A$1:$G$49,MATCH(orders!$D315,products!$A$1:$A$49,0),MATCH(L$1,products!$A$1:$G$1,0))</f>
        <v>9.9499999999999993</v>
      </c>
      <c r="M315" s="7">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ID]],customers!$A$1:$A$1001,customers!$I$1:$I$1001,,0)</f>
        <v>Yes</v>
      </c>
    </row>
    <row r="316" spans="1:16" x14ac:dyDescent="0.35">
      <c r="A316" s="2" t="s">
        <v>2262</v>
      </c>
      <c r="B316" s="5">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6">
        <f>INDEX(products!$A$1:$G$49,MATCH(orders!$D316,products!$A$1:$A$49,0),MATCH(K$1,products!$A$1:$G$1,0))</f>
        <v>1</v>
      </c>
      <c r="L316" s="7">
        <f>INDEX(products!$A$1:$G$49,MATCH(orders!$D316,products!$A$1:$A$49,0),MATCH(L$1,products!$A$1:$G$1,0))</f>
        <v>8.9499999999999993</v>
      </c>
      <c r="M316" s="7">
        <f t="shared" si="4"/>
        <v>44.75</v>
      </c>
      <c r="N316" t="str" cm="1">
        <f t="array" ref="N316">_xlfn.IFS(I316="Rob","Robusta",I316="Exc","Excelsa",I316="Ara","Arabica",I316="Lib","Liberica")</f>
        <v>Robusta</v>
      </c>
      <c r="O316" t="str" cm="1">
        <f t="array" ref="O316">_xlfn.IFS(J316="M","Medium",J316="L","Light",J316="D","Dark")</f>
        <v>Dark</v>
      </c>
      <c r="P316" t="str">
        <f>_xlfn.XLOOKUP(Orders[[#This Row],[Customer ID]],customers!$A$1:$A$1001,customers!$I$1:$I$1001,,0)</f>
        <v>No</v>
      </c>
    </row>
    <row r="317" spans="1:16" x14ac:dyDescent="0.35">
      <c r="A317" s="2" t="s">
        <v>2267</v>
      </c>
      <c r="B317" s="5">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6">
        <f>INDEX(products!$A$1:$G$49,MATCH(orders!$D317,products!$A$1:$A$49,0),MATCH(K$1,products!$A$1:$G$1,0))</f>
        <v>2.5</v>
      </c>
      <c r="L317" s="7">
        <f>INDEX(products!$A$1:$G$49,MATCH(orders!$D317,products!$A$1:$A$49,0),MATCH(L$1,products!$A$1:$G$1,0))</f>
        <v>34.154999999999994</v>
      </c>
      <c r="M317" s="7">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ID]],customers!$A$1:$A$1001,customers!$I$1:$I$1001,,0)</f>
        <v>Yes</v>
      </c>
    </row>
    <row r="318" spans="1:16" x14ac:dyDescent="0.35">
      <c r="A318" s="2" t="s">
        <v>2273</v>
      </c>
      <c r="B318" s="5">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6">
        <f>INDEX(products!$A$1:$G$49,MATCH(orders!$D318,products!$A$1:$A$49,0),MATCH(K$1,products!$A$1:$G$1,0))</f>
        <v>2.5</v>
      </c>
      <c r="L318" s="7">
        <f>INDEX(products!$A$1:$G$49,MATCH(orders!$D318,products!$A$1:$A$49,0),MATCH(L$1,products!$A$1:$G$1,0))</f>
        <v>34.154999999999994</v>
      </c>
      <c r="M318" s="7">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ID]],customers!$A$1:$A$1001,customers!$I$1:$I$1001,,0)</f>
        <v>No</v>
      </c>
    </row>
    <row r="319" spans="1:16" x14ac:dyDescent="0.35">
      <c r="A319" s="2" t="s">
        <v>2279</v>
      </c>
      <c r="B319" s="5">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6">
        <f>INDEX(products!$A$1:$G$49,MATCH(orders!$D319,products!$A$1:$A$49,0),MATCH(K$1,products!$A$1:$G$1,0))</f>
        <v>0.5</v>
      </c>
      <c r="L319" s="7">
        <f>INDEX(products!$A$1:$G$49,MATCH(orders!$D319,products!$A$1:$A$49,0),MATCH(L$1,products!$A$1:$G$1,0))</f>
        <v>7.29</v>
      </c>
      <c r="M319" s="7">
        <f t="shared" si="4"/>
        <v>21.87</v>
      </c>
      <c r="N319" t="str" cm="1">
        <f t="array" ref="N319">_xlfn.IFS(I319="Rob","Robusta",I319="Exc","Excelsa",I319="Ara","Arabica",I319="Lib","Liberica")</f>
        <v>Excelsa</v>
      </c>
      <c r="O319" t="str" cm="1">
        <f t="array" ref="O319">_xlfn.IFS(J319="M","Medium",J319="L","Light",J319="D","Dark")</f>
        <v>Dark</v>
      </c>
      <c r="P319" t="str">
        <f>_xlfn.XLOOKUP(Orders[[#This Row],[Customer ID]],customers!$A$1:$A$1001,customers!$I$1:$I$1001,,0)</f>
        <v>No</v>
      </c>
    </row>
    <row r="320" spans="1:16" x14ac:dyDescent="0.35">
      <c r="A320" s="2" t="s">
        <v>2285</v>
      </c>
      <c r="B320" s="5">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6">
        <f>INDEX(products!$A$1:$G$49,MATCH(orders!$D320,products!$A$1:$A$49,0),MATCH(K$1,products!$A$1:$G$1,0))</f>
        <v>2.5</v>
      </c>
      <c r="L320" s="7">
        <f>INDEX(products!$A$1:$G$49,MATCH(orders!$D320,products!$A$1:$A$49,0),MATCH(L$1,products!$A$1:$G$1,0))</f>
        <v>25.874999999999996</v>
      </c>
      <c r="M320" s="7">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ID]],customers!$A$1:$A$1001,customers!$I$1:$I$1001,,0)</f>
        <v>Yes</v>
      </c>
    </row>
    <row r="321" spans="1:16" x14ac:dyDescent="0.35">
      <c r="A321" s="2" t="s">
        <v>2291</v>
      </c>
      <c r="B321" s="5">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6">
        <f>INDEX(products!$A$1:$G$49,MATCH(orders!$D321,products!$A$1:$A$49,0),MATCH(K$1,products!$A$1:$G$1,0))</f>
        <v>0.2</v>
      </c>
      <c r="L321" s="7">
        <f>INDEX(products!$A$1:$G$49,MATCH(orders!$D321,products!$A$1:$A$49,0),MATCH(L$1,products!$A$1:$G$1,0))</f>
        <v>4.125</v>
      </c>
      <c r="M321" s="7">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ID]],customers!$A$1:$A$1001,customers!$I$1:$I$1001,,0)</f>
        <v>Yes</v>
      </c>
    </row>
    <row r="322" spans="1:16" x14ac:dyDescent="0.35">
      <c r="A322" s="2" t="s">
        <v>2291</v>
      </c>
      <c r="B322" s="5">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6">
        <f>INDEX(products!$A$1:$G$49,MATCH(orders!$D322,products!$A$1:$A$49,0),MATCH(K$1,products!$A$1:$G$1,0))</f>
        <v>0.2</v>
      </c>
      <c r="L322" s="7">
        <f>INDEX(products!$A$1:$G$49,MATCH(orders!$D322,products!$A$1:$A$49,0),MATCH(L$1,products!$A$1:$G$1,0))</f>
        <v>3.8849999999999998</v>
      </c>
      <c r="M322" s="7">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ID]],customers!$A$1:$A$1001,customers!$I$1:$I$1001,,0)</f>
        <v>Yes</v>
      </c>
    </row>
    <row r="323" spans="1:16" x14ac:dyDescent="0.35">
      <c r="A323" s="2" t="s">
        <v>2301</v>
      </c>
      <c r="B323" s="5">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6">
        <f>INDEX(products!$A$1:$G$49,MATCH(orders!$D323,products!$A$1:$A$49,0),MATCH(K$1,products!$A$1:$G$1,0))</f>
        <v>0.2</v>
      </c>
      <c r="L323" s="7">
        <f>INDEX(products!$A$1:$G$49,MATCH(orders!$D323,products!$A$1:$A$49,0),MATCH(L$1,products!$A$1:$G$1,0))</f>
        <v>3.375</v>
      </c>
      <c r="M323" s="7">
        <f t="shared" ref="M323:M386" si="5">PRODUCT(L323,E323)</f>
        <v>20.25</v>
      </c>
      <c r="N323" t="str" cm="1">
        <f t="array" ref="N323">_xlfn.IFS(I323="Rob","Robusta",I323="Exc","Excelsa",I323="Ara","Arabica",I323="Lib","Liberica")</f>
        <v>Arabica</v>
      </c>
      <c r="O323" t="str" cm="1">
        <f t="array" ref="O323">_xlfn.IFS(J323="M","Medium",J323="L","Light",J323="D","Dark")</f>
        <v>Medium</v>
      </c>
      <c r="P323" t="str">
        <f>_xlfn.XLOOKUP(Orders[[#This Row],[Customer ID]],customers!$A$1:$A$1001,customers!$I$1:$I$1001,,0)</f>
        <v>Yes</v>
      </c>
    </row>
    <row r="324" spans="1:16" x14ac:dyDescent="0.35">
      <c r="A324" s="2" t="s">
        <v>2307</v>
      </c>
      <c r="B324" s="5">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6">
        <f>INDEX(products!$A$1:$G$49,MATCH(orders!$D324,products!$A$1:$A$49,0),MATCH(K$1,products!$A$1:$G$1,0))</f>
        <v>0.5</v>
      </c>
      <c r="L324" s="7">
        <f>INDEX(products!$A$1:$G$49,MATCH(orders!$D324,products!$A$1:$A$49,0),MATCH(L$1,products!$A$1:$G$1,0))</f>
        <v>7.77</v>
      </c>
      <c r="M324" s="7">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ID]],customers!$A$1:$A$1001,customers!$I$1:$I$1001,,0)</f>
        <v>No</v>
      </c>
    </row>
    <row r="325" spans="1:16" x14ac:dyDescent="0.35">
      <c r="A325" s="2" t="s">
        <v>2313</v>
      </c>
      <c r="B325" s="5">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6">
        <f>INDEX(products!$A$1:$G$49,MATCH(orders!$D325,products!$A$1:$A$49,0),MATCH(K$1,products!$A$1:$G$1,0))</f>
        <v>0.2</v>
      </c>
      <c r="L325" s="7">
        <f>INDEX(products!$A$1:$G$49,MATCH(orders!$D325,products!$A$1:$A$49,0),MATCH(L$1,products!$A$1:$G$1,0))</f>
        <v>3.645</v>
      </c>
      <c r="M325" s="7">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ID]],customers!$A$1:$A$1001,customers!$I$1:$I$1001,,0)</f>
        <v>Yes</v>
      </c>
    </row>
    <row r="326" spans="1:16" x14ac:dyDescent="0.35">
      <c r="A326" s="2" t="s">
        <v>2319</v>
      </c>
      <c r="B326" s="5">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6">
        <f>INDEX(products!$A$1:$G$49,MATCH(orders!$D326,products!$A$1:$A$49,0),MATCH(K$1,products!$A$1:$G$1,0))</f>
        <v>1</v>
      </c>
      <c r="L326" s="7">
        <f>INDEX(products!$A$1:$G$49,MATCH(orders!$D326,products!$A$1:$A$49,0),MATCH(L$1,products!$A$1:$G$1,0))</f>
        <v>13.75</v>
      </c>
      <c r="M326" s="7">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ID]],customers!$A$1:$A$1001,customers!$I$1:$I$1001,,0)</f>
        <v>No</v>
      </c>
    </row>
    <row r="327" spans="1:16" x14ac:dyDescent="0.35">
      <c r="A327" s="2" t="s">
        <v>2324</v>
      </c>
      <c r="B327" s="5">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6">
        <f>INDEX(products!$A$1:$G$49,MATCH(orders!$D327,products!$A$1:$A$49,0),MATCH(K$1,products!$A$1:$G$1,0))</f>
        <v>2.5</v>
      </c>
      <c r="L327" s="7">
        <f>INDEX(products!$A$1:$G$49,MATCH(orders!$D327,products!$A$1:$A$49,0),MATCH(L$1,products!$A$1:$G$1,0))</f>
        <v>29.784999999999997</v>
      </c>
      <c r="M327" s="7">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ID]],customers!$A$1:$A$1001,customers!$I$1:$I$1001,,0)</f>
        <v>Yes</v>
      </c>
    </row>
    <row r="328" spans="1:16" x14ac:dyDescent="0.35">
      <c r="A328" s="2" t="s">
        <v>2330</v>
      </c>
      <c r="B328" s="5">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6">
        <f>INDEX(products!$A$1:$G$49,MATCH(orders!$D328,products!$A$1:$A$49,0),MATCH(K$1,products!$A$1:$G$1,0))</f>
        <v>1</v>
      </c>
      <c r="L328" s="7">
        <f>INDEX(products!$A$1:$G$49,MATCH(orders!$D328,products!$A$1:$A$49,0),MATCH(L$1,products!$A$1:$G$1,0))</f>
        <v>8.9499999999999993</v>
      </c>
      <c r="M328" s="7">
        <f t="shared" si="5"/>
        <v>44.75</v>
      </c>
      <c r="N328" t="str" cm="1">
        <f t="array" ref="N328">_xlfn.IFS(I328="Rob","Robusta",I328="Exc","Excelsa",I328="Ara","Arabica",I328="Lib","Liberica")</f>
        <v>Robusta</v>
      </c>
      <c r="O328" t="str" cm="1">
        <f t="array" ref="O328">_xlfn.IFS(J328="M","Medium",J328="L","Light",J328="D","Dark")</f>
        <v>Dark</v>
      </c>
      <c r="P328" t="str">
        <f>_xlfn.XLOOKUP(Orders[[#This Row],[Customer ID]],customers!$A$1:$A$1001,customers!$I$1:$I$1001,,0)</f>
        <v>No</v>
      </c>
    </row>
    <row r="329" spans="1:16" x14ac:dyDescent="0.35">
      <c r="A329" s="2" t="s">
        <v>2335</v>
      </c>
      <c r="B329" s="5">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6">
        <f>INDEX(products!$A$1:$G$49,MATCH(orders!$D329,products!$A$1:$A$49,0),MATCH(K$1,products!$A$1:$G$1,0))</f>
        <v>1</v>
      </c>
      <c r="L329" s="7">
        <f>INDEX(products!$A$1:$G$49,MATCH(orders!$D329,products!$A$1:$A$49,0),MATCH(L$1,products!$A$1:$G$1,0))</f>
        <v>8.9499999999999993</v>
      </c>
      <c r="M329" s="7">
        <f t="shared" si="5"/>
        <v>44.75</v>
      </c>
      <c r="N329" t="str" cm="1">
        <f t="array" ref="N329">_xlfn.IFS(I329="Rob","Robusta",I329="Exc","Excelsa",I329="Ara","Arabica",I329="Lib","Liberica")</f>
        <v>Robusta</v>
      </c>
      <c r="O329" t="str" cm="1">
        <f t="array" ref="O329">_xlfn.IFS(J329="M","Medium",J329="L","Light",J329="D","Dark")</f>
        <v>Dark</v>
      </c>
      <c r="P329" t="str">
        <f>_xlfn.XLOOKUP(Orders[[#This Row],[Customer ID]],customers!$A$1:$A$1001,customers!$I$1:$I$1001,,0)</f>
        <v>Yes</v>
      </c>
    </row>
    <row r="330" spans="1:16" x14ac:dyDescent="0.35">
      <c r="A330" s="2" t="s">
        <v>2341</v>
      </c>
      <c r="B330" s="5">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6">
        <f>INDEX(products!$A$1:$G$49,MATCH(orders!$D330,products!$A$1:$A$49,0),MATCH(K$1,products!$A$1:$G$1,0))</f>
        <v>0.5</v>
      </c>
      <c r="L330" s="7">
        <f>INDEX(products!$A$1:$G$49,MATCH(orders!$D330,products!$A$1:$A$49,0),MATCH(L$1,products!$A$1:$G$1,0))</f>
        <v>9.51</v>
      </c>
      <c r="M330" s="7">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ID]],customers!$A$1:$A$1001,customers!$I$1:$I$1001,,0)</f>
        <v>Yes</v>
      </c>
    </row>
    <row r="331" spans="1:16" x14ac:dyDescent="0.35">
      <c r="A331" s="2" t="s">
        <v>2346</v>
      </c>
      <c r="B331" s="5">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6">
        <f>INDEX(products!$A$1:$G$49,MATCH(orders!$D331,products!$A$1:$A$49,0),MATCH(K$1,products!$A$1:$G$1,0))</f>
        <v>0.5</v>
      </c>
      <c r="L331" s="7">
        <f>INDEX(products!$A$1:$G$49,MATCH(orders!$D331,products!$A$1:$A$49,0),MATCH(L$1,products!$A$1:$G$1,0))</f>
        <v>5.3699999999999992</v>
      </c>
      <c r="M331" s="7">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ID]],customers!$A$1:$A$1001,customers!$I$1:$I$1001,,0)</f>
        <v>Yes</v>
      </c>
    </row>
    <row r="332" spans="1:16" x14ac:dyDescent="0.35">
      <c r="A332" s="2" t="s">
        <v>2351</v>
      </c>
      <c r="B332" s="5">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6">
        <f>INDEX(products!$A$1:$G$49,MATCH(orders!$D332,products!$A$1:$A$49,0),MATCH(K$1,products!$A$1:$G$1,0))</f>
        <v>0.5</v>
      </c>
      <c r="L332" s="7">
        <f>INDEX(products!$A$1:$G$49,MATCH(orders!$D332,products!$A$1:$A$49,0),MATCH(L$1,products!$A$1:$G$1,0))</f>
        <v>5.3699999999999992</v>
      </c>
      <c r="M332" s="7">
        <f t="shared" si="5"/>
        <v>16.11</v>
      </c>
      <c r="N332" t="str" cm="1">
        <f t="array" ref="N332">_xlfn.IFS(I332="Rob","Robusta",I332="Exc","Excelsa",I332="Ara","Arabica",I332="Lib","Liberica")</f>
        <v>Robusta</v>
      </c>
      <c r="O332" t="str" cm="1">
        <f t="array" ref="O332">_xlfn.IFS(J332="M","Medium",J332="L","Light",J332="D","Dark")</f>
        <v>Dark</v>
      </c>
      <c r="P332" t="str">
        <f>_xlfn.XLOOKUP(Orders[[#This Row],[Customer ID]],customers!$A$1:$A$1001,customers!$I$1:$I$1001,,0)</f>
        <v>No</v>
      </c>
    </row>
    <row r="333" spans="1:16" x14ac:dyDescent="0.35">
      <c r="A333" s="2" t="s">
        <v>2357</v>
      </c>
      <c r="B333" s="5">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6">
        <f>INDEX(products!$A$1:$G$49,MATCH(orders!$D333,products!$A$1:$A$49,0),MATCH(K$1,products!$A$1:$G$1,0))</f>
        <v>2.5</v>
      </c>
      <c r="L333" s="7">
        <f>INDEX(products!$A$1:$G$49,MATCH(orders!$D333,products!$A$1:$A$49,0),MATCH(L$1,products!$A$1:$G$1,0))</f>
        <v>22.884999999999998</v>
      </c>
      <c r="M333" s="7">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ID]],customers!$A$1:$A$1001,customers!$I$1:$I$1001,,0)</f>
        <v>Yes</v>
      </c>
    </row>
    <row r="334" spans="1:16" x14ac:dyDescent="0.35">
      <c r="A334" s="2" t="s">
        <v>2363</v>
      </c>
      <c r="B334" s="5">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6">
        <f>INDEX(products!$A$1:$G$49,MATCH(orders!$D334,products!$A$1:$A$49,0),MATCH(K$1,products!$A$1:$G$1,0))</f>
        <v>0.5</v>
      </c>
      <c r="L334" s="7">
        <f>INDEX(products!$A$1:$G$49,MATCH(orders!$D334,products!$A$1:$A$49,0),MATCH(L$1,products!$A$1:$G$1,0))</f>
        <v>5.97</v>
      </c>
      <c r="M334" s="7">
        <f t="shared" si="5"/>
        <v>17.91</v>
      </c>
      <c r="N334" t="str" cm="1">
        <f t="array" ref="N334">_xlfn.IFS(I334="Rob","Robusta",I334="Exc","Excelsa",I334="Ara","Arabica",I334="Lib","Liberica")</f>
        <v>Arabica</v>
      </c>
      <c r="O334" t="str" cm="1">
        <f t="array" ref="O334">_xlfn.IFS(J334="M","Medium",J334="L","Light",J334="D","Dark")</f>
        <v>Dark</v>
      </c>
      <c r="P334" t="str">
        <f>_xlfn.XLOOKUP(Orders[[#This Row],[Customer ID]],customers!$A$1:$A$1001,customers!$I$1:$I$1001,,0)</f>
        <v>Yes</v>
      </c>
    </row>
    <row r="335" spans="1:16" x14ac:dyDescent="0.35">
      <c r="A335" s="2" t="s">
        <v>2369</v>
      </c>
      <c r="B335" s="5">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6">
        <f>INDEX(products!$A$1:$G$49,MATCH(orders!$D335,products!$A$1:$A$49,0),MATCH(K$1,products!$A$1:$G$1,0))</f>
        <v>0.5</v>
      </c>
      <c r="L335" s="7">
        <f>INDEX(products!$A$1:$G$49,MATCH(orders!$D335,products!$A$1:$A$49,0),MATCH(L$1,products!$A$1:$G$1,0))</f>
        <v>5.97</v>
      </c>
      <c r="M335" s="7">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ID]],customers!$A$1:$A$1001,customers!$I$1:$I$1001,,0)</f>
        <v>Yes</v>
      </c>
    </row>
    <row r="336" spans="1:16" x14ac:dyDescent="0.35">
      <c r="A336" s="2" t="s">
        <v>2375</v>
      </c>
      <c r="B336" s="5">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6">
        <f>INDEX(products!$A$1:$G$49,MATCH(orders!$D336,products!$A$1:$A$49,0),MATCH(K$1,products!$A$1:$G$1,0))</f>
        <v>1</v>
      </c>
      <c r="L336" s="7">
        <f>INDEX(products!$A$1:$G$49,MATCH(orders!$D336,products!$A$1:$A$49,0),MATCH(L$1,products!$A$1:$G$1,0))</f>
        <v>11.95</v>
      </c>
      <c r="M336" s="7">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ID]],customers!$A$1:$A$1001,customers!$I$1:$I$1001,,0)</f>
        <v>No</v>
      </c>
    </row>
    <row r="337" spans="1:16" x14ac:dyDescent="0.35">
      <c r="A337" s="2" t="s">
        <v>2379</v>
      </c>
      <c r="B337" s="5">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6">
        <f>INDEX(products!$A$1:$G$49,MATCH(orders!$D337,products!$A$1:$A$49,0),MATCH(K$1,products!$A$1:$G$1,0))</f>
        <v>0.2</v>
      </c>
      <c r="L337" s="7">
        <f>INDEX(products!$A$1:$G$49,MATCH(orders!$D337,products!$A$1:$A$49,0),MATCH(L$1,products!$A$1:$G$1,0))</f>
        <v>4.7549999999999999</v>
      </c>
      <c r="M337" s="7">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ID]],customers!$A$1:$A$1001,customers!$I$1:$I$1001,,0)</f>
        <v>Yes</v>
      </c>
    </row>
    <row r="338" spans="1:16" x14ac:dyDescent="0.35">
      <c r="A338" s="2" t="s">
        <v>2385</v>
      </c>
      <c r="B338" s="5">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6">
        <f>INDEX(products!$A$1:$G$49,MATCH(orders!$D338,products!$A$1:$A$49,0),MATCH(K$1,products!$A$1:$G$1,0))</f>
        <v>1</v>
      </c>
      <c r="L338" s="7">
        <f>INDEX(products!$A$1:$G$49,MATCH(orders!$D338,products!$A$1:$A$49,0),MATCH(L$1,products!$A$1:$G$1,0))</f>
        <v>11.25</v>
      </c>
      <c r="M338" s="7">
        <f t="shared" si="5"/>
        <v>45</v>
      </c>
      <c r="N338" t="str" cm="1">
        <f t="array" ref="N338">_xlfn.IFS(I338="Rob","Robusta",I338="Exc","Excelsa",I338="Ara","Arabica",I338="Lib","Liberica")</f>
        <v>Arabica</v>
      </c>
      <c r="O338" t="str" cm="1">
        <f t="array" ref="O338">_xlfn.IFS(J338="M","Medium",J338="L","Light",J338="D","Dark")</f>
        <v>Medium</v>
      </c>
      <c r="P338" t="str">
        <f>_xlfn.XLOOKUP(Orders[[#This Row],[Customer ID]],customers!$A$1:$A$1001,customers!$I$1:$I$1001,,0)</f>
        <v>No</v>
      </c>
    </row>
    <row r="339" spans="1:16" x14ac:dyDescent="0.35">
      <c r="A339" s="2" t="s">
        <v>2391</v>
      </c>
      <c r="B339" s="5">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6">
        <f>INDEX(products!$A$1:$G$49,MATCH(orders!$D339,products!$A$1:$A$49,0),MATCH(K$1,products!$A$1:$G$1,0))</f>
        <v>2.5</v>
      </c>
      <c r="L339" s="7">
        <f>INDEX(products!$A$1:$G$49,MATCH(orders!$D339,products!$A$1:$A$49,0),MATCH(L$1,products!$A$1:$G$1,0))</f>
        <v>27.945</v>
      </c>
      <c r="M339" s="7">
        <f t="shared" si="5"/>
        <v>55.89</v>
      </c>
      <c r="N339" t="str" cm="1">
        <f t="array" ref="N339">_xlfn.IFS(I339="Rob","Robusta",I339="Exc","Excelsa",I339="Ara","Arabica",I339="Lib","Liberica")</f>
        <v>Excelsa</v>
      </c>
      <c r="O339" t="str" cm="1">
        <f t="array" ref="O339">_xlfn.IFS(J339="M","Medium",J339="L","Light",J339="D","Dark")</f>
        <v>Dark</v>
      </c>
      <c r="P339" t="str">
        <f>_xlfn.XLOOKUP(Orders[[#This Row],[Customer ID]],customers!$A$1:$A$1001,customers!$I$1:$I$1001,,0)</f>
        <v>No</v>
      </c>
    </row>
    <row r="340" spans="1:16" x14ac:dyDescent="0.35">
      <c r="A340" s="2" t="s">
        <v>2396</v>
      </c>
      <c r="B340" s="5">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6">
        <f>INDEX(products!$A$1:$G$49,MATCH(orders!$D340,products!$A$1:$A$49,0),MATCH(K$1,products!$A$1:$G$1,0))</f>
        <v>1</v>
      </c>
      <c r="L340" s="7">
        <f>INDEX(products!$A$1:$G$49,MATCH(orders!$D340,products!$A$1:$A$49,0),MATCH(L$1,products!$A$1:$G$1,0))</f>
        <v>14.85</v>
      </c>
      <c r="M340" s="7">
        <f t="shared" si="5"/>
        <v>59.4</v>
      </c>
      <c r="N340" t="str" cm="1">
        <f t="array" ref="N340">_xlfn.IFS(I340="Rob","Robusta",I340="Exc","Excelsa",I340="Ara","Arabica",I340="Lib","Liberica")</f>
        <v>Excelsa</v>
      </c>
      <c r="O340" t="str" cm="1">
        <f t="array" ref="O340">_xlfn.IFS(J340="M","Medium",J340="L","Light",J340="D","Dark")</f>
        <v>Light</v>
      </c>
      <c r="P340" t="str">
        <f>_xlfn.XLOOKUP(Orders[[#This Row],[Customer ID]],customers!$A$1:$A$1001,customers!$I$1:$I$1001,,0)</f>
        <v>No</v>
      </c>
    </row>
    <row r="341" spans="1:16" x14ac:dyDescent="0.35">
      <c r="A341" s="2" t="s">
        <v>2402</v>
      </c>
      <c r="B341" s="5">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6">
        <f>INDEX(products!$A$1:$G$49,MATCH(orders!$D341,products!$A$1:$A$49,0),MATCH(K$1,products!$A$1:$G$1,0))</f>
        <v>0.2</v>
      </c>
      <c r="L341" s="7">
        <f>INDEX(products!$A$1:$G$49,MATCH(orders!$D341,products!$A$1:$A$49,0),MATCH(L$1,products!$A$1:$G$1,0))</f>
        <v>3.645</v>
      </c>
      <c r="M341" s="7">
        <f t="shared" si="5"/>
        <v>7.29</v>
      </c>
      <c r="N341" t="str" cm="1">
        <f t="array" ref="N341">_xlfn.IFS(I341="Rob","Robusta",I341="Exc","Excelsa",I341="Ara","Arabica",I341="Lib","Liberica")</f>
        <v>Excelsa</v>
      </c>
      <c r="O341" t="str" cm="1">
        <f t="array" ref="O341">_xlfn.IFS(J341="M","Medium",J341="L","Light",J341="D","Dark")</f>
        <v>Dark</v>
      </c>
      <c r="P341" t="str">
        <f>_xlfn.XLOOKUP(Orders[[#This Row],[Customer ID]],customers!$A$1:$A$1001,customers!$I$1:$I$1001,,0)</f>
        <v>Yes</v>
      </c>
    </row>
    <row r="342" spans="1:16" x14ac:dyDescent="0.35">
      <c r="A342" s="2" t="s">
        <v>2408</v>
      </c>
      <c r="B342" s="5">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6">
        <f>INDEX(products!$A$1:$G$49,MATCH(orders!$D342,products!$A$1:$A$49,0),MATCH(K$1,products!$A$1:$G$1,0))</f>
        <v>0.5</v>
      </c>
      <c r="L342" s="7">
        <f>INDEX(products!$A$1:$G$49,MATCH(orders!$D342,products!$A$1:$A$49,0),MATCH(L$1,products!$A$1:$G$1,0))</f>
        <v>7.29</v>
      </c>
      <c r="M342" s="7">
        <f t="shared" si="5"/>
        <v>7.29</v>
      </c>
      <c r="N342" t="str" cm="1">
        <f t="array" ref="N342">_xlfn.IFS(I342="Rob","Robusta",I342="Exc","Excelsa",I342="Ara","Arabica",I342="Lib","Liberica")</f>
        <v>Excelsa</v>
      </c>
      <c r="O342" t="str" cm="1">
        <f t="array" ref="O342">_xlfn.IFS(J342="M","Medium",J342="L","Light",J342="D","Dark")</f>
        <v>Dark</v>
      </c>
      <c r="P342" t="str">
        <f>_xlfn.XLOOKUP(Orders[[#This Row],[Customer ID]],customers!$A$1:$A$1001,customers!$I$1:$I$1001,,0)</f>
        <v>Yes</v>
      </c>
    </row>
    <row r="343" spans="1:16" x14ac:dyDescent="0.35">
      <c r="A343" s="2" t="s">
        <v>2414</v>
      </c>
      <c r="B343" s="5">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6">
        <f>INDEX(products!$A$1:$G$49,MATCH(orders!$D343,products!$A$1:$A$49,0),MATCH(K$1,products!$A$1:$G$1,0))</f>
        <v>0.5</v>
      </c>
      <c r="L343" s="7">
        <f>INDEX(products!$A$1:$G$49,MATCH(orders!$D343,products!$A$1:$A$49,0),MATCH(L$1,products!$A$1:$G$1,0))</f>
        <v>8.91</v>
      </c>
      <c r="M343" s="7">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ID]],customers!$A$1:$A$1001,customers!$I$1:$I$1001,,0)</f>
        <v>No</v>
      </c>
    </row>
    <row r="344" spans="1:16" x14ac:dyDescent="0.35">
      <c r="A344" s="2" t="s">
        <v>2414</v>
      </c>
      <c r="B344" s="5">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6">
        <f>INDEX(products!$A$1:$G$49,MATCH(orders!$D344,products!$A$1:$A$49,0),MATCH(K$1,products!$A$1:$G$1,0))</f>
        <v>0.5</v>
      </c>
      <c r="L344" s="7">
        <f>INDEX(products!$A$1:$G$49,MATCH(orders!$D344,products!$A$1:$A$49,0),MATCH(L$1,products!$A$1:$G$1,0))</f>
        <v>7.77</v>
      </c>
      <c r="M344" s="7">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ID]],customers!$A$1:$A$1001,customers!$I$1:$I$1001,,0)</f>
        <v>No</v>
      </c>
    </row>
    <row r="345" spans="1:16" x14ac:dyDescent="0.35">
      <c r="A345" s="2" t="s">
        <v>2424</v>
      </c>
      <c r="B345" s="5">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6">
        <f>INDEX(products!$A$1:$G$49,MATCH(orders!$D345,products!$A$1:$A$49,0),MATCH(K$1,products!$A$1:$G$1,0))</f>
        <v>0.5</v>
      </c>
      <c r="L345" s="7">
        <f>INDEX(products!$A$1:$G$49,MATCH(orders!$D345,products!$A$1:$A$49,0),MATCH(L$1,products!$A$1:$G$1,0))</f>
        <v>5.3699999999999992</v>
      </c>
      <c r="M345" s="7">
        <f t="shared" si="5"/>
        <v>32.22</v>
      </c>
      <c r="N345" t="str" cm="1">
        <f t="array" ref="N345">_xlfn.IFS(I345="Rob","Robusta",I345="Exc","Excelsa",I345="Ara","Arabica",I345="Lib","Liberica")</f>
        <v>Robusta</v>
      </c>
      <c r="O345" t="str" cm="1">
        <f t="array" ref="O345">_xlfn.IFS(J345="M","Medium",J345="L","Light",J345="D","Dark")</f>
        <v>Dark</v>
      </c>
      <c r="P345" t="str">
        <f>_xlfn.XLOOKUP(Orders[[#This Row],[Customer ID]],customers!$A$1:$A$1001,customers!$I$1:$I$1001,,0)</f>
        <v>No</v>
      </c>
    </row>
    <row r="346" spans="1:16" x14ac:dyDescent="0.35">
      <c r="A346" s="2" t="s">
        <v>2429</v>
      </c>
      <c r="B346" s="5">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6">
        <f>INDEX(products!$A$1:$G$49,MATCH(orders!$D346,products!$A$1:$A$49,0),MATCH(K$1,products!$A$1:$G$1,0))</f>
        <v>1</v>
      </c>
      <c r="L346" s="7">
        <f>INDEX(products!$A$1:$G$49,MATCH(orders!$D346,products!$A$1:$A$49,0),MATCH(L$1,products!$A$1:$G$1,0))</f>
        <v>9.9499999999999993</v>
      </c>
      <c r="M346" s="7">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ID]],customers!$A$1:$A$1001,customers!$I$1:$I$1001,,0)</f>
        <v>Yes</v>
      </c>
    </row>
    <row r="347" spans="1:16" x14ac:dyDescent="0.35">
      <c r="A347" s="2" t="s">
        <v>2434</v>
      </c>
      <c r="B347" s="5">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6">
        <f>INDEX(products!$A$1:$G$49,MATCH(orders!$D347,products!$A$1:$A$49,0),MATCH(K$1,products!$A$1:$G$1,0))</f>
        <v>1</v>
      </c>
      <c r="L347" s="7">
        <f>INDEX(products!$A$1:$G$49,MATCH(orders!$D347,products!$A$1:$A$49,0),MATCH(L$1,products!$A$1:$G$1,0))</f>
        <v>11.95</v>
      </c>
      <c r="M347" s="7">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ID]],customers!$A$1:$A$1001,customers!$I$1:$I$1001,,0)</f>
        <v>No</v>
      </c>
    </row>
    <row r="348" spans="1:16" x14ac:dyDescent="0.35">
      <c r="A348" s="2" t="s">
        <v>2440</v>
      </c>
      <c r="B348" s="5">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6">
        <f>INDEX(products!$A$1:$G$49,MATCH(orders!$D348,products!$A$1:$A$49,0),MATCH(K$1,products!$A$1:$G$1,0))</f>
        <v>0.5</v>
      </c>
      <c r="L348" s="7">
        <f>INDEX(products!$A$1:$G$49,MATCH(orders!$D348,products!$A$1:$A$49,0),MATCH(L$1,products!$A$1:$G$1,0))</f>
        <v>7.77</v>
      </c>
      <c r="M348" s="7">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ID]],customers!$A$1:$A$1001,customers!$I$1:$I$1001,,0)</f>
        <v>Yes</v>
      </c>
    </row>
    <row r="349" spans="1:16" x14ac:dyDescent="0.35">
      <c r="A349" s="2" t="s">
        <v>2446</v>
      </c>
      <c r="B349" s="5">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6">
        <f>INDEX(products!$A$1:$G$49,MATCH(orders!$D349,products!$A$1:$A$49,0),MATCH(K$1,products!$A$1:$G$1,0))</f>
        <v>1</v>
      </c>
      <c r="L349" s="7">
        <f>INDEX(products!$A$1:$G$49,MATCH(orders!$D349,products!$A$1:$A$49,0),MATCH(L$1,products!$A$1:$G$1,0))</f>
        <v>14.55</v>
      </c>
      <c r="M349" s="7">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ID]],customers!$A$1:$A$1001,customers!$I$1:$I$1001,,0)</f>
        <v>No</v>
      </c>
    </row>
    <row r="350" spans="1:16" x14ac:dyDescent="0.35">
      <c r="A350" s="2" t="s">
        <v>2452</v>
      </c>
      <c r="B350" s="5">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6">
        <f>INDEX(products!$A$1:$G$49,MATCH(orders!$D350,products!$A$1:$A$49,0),MATCH(K$1,products!$A$1:$G$1,0))</f>
        <v>2.5</v>
      </c>
      <c r="L350" s="7">
        <f>INDEX(products!$A$1:$G$49,MATCH(orders!$D350,products!$A$1:$A$49,0),MATCH(L$1,products!$A$1:$G$1,0))</f>
        <v>34.154999999999994</v>
      </c>
      <c r="M350" s="7">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ID]],customers!$A$1:$A$1001,customers!$I$1:$I$1001,,0)</f>
        <v>No</v>
      </c>
    </row>
    <row r="351" spans="1:16" x14ac:dyDescent="0.35">
      <c r="A351" s="2" t="s">
        <v>2458</v>
      </c>
      <c r="B351" s="5">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6">
        <f>INDEX(products!$A$1:$G$49,MATCH(orders!$D351,products!$A$1:$A$49,0),MATCH(K$1,products!$A$1:$G$1,0))</f>
        <v>0.2</v>
      </c>
      <c r="L351" s="7">
        <f>INDEX(products!$A$1:$G$49,MATCH(orders!$D351,products!$A$1:$A$49,0),MATCH(L$1,products!$A$1:$G$1,0))</f>
        <v>3.5849999999999995</v>
      </c>
      <c r="M351" s="7">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ID]],customers!$A$1:$A$1001,customers!$I$1:$I$1001,,0)</f>
        <v>No</v>
      </c>
    </row>
    <row r="352" spans="1:16" x14ac:dyDescent="0.35">
      <c r="A352" s="2" t="s">
        <v>2464</v>
      </c>
      <c r="B352" s="5">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6">
        <f>INDEX(products!$A$1:$G$49,MATCH(orders!$D352,products!$A$1:$A$49,0),MATCH(K$1,products!$A$1:$G$1,0))</f>
        <v>0.5</v>
      </c>
      <c r="L352" s="7">
        <f>INDEX(products!$A$1:$G$49,MATCH(orders!$D352,products!$A$1:$A$49,0),MATCH(L$1,products!$A$1:$G$1,0))</f>
        <v>5.97</v>
      </c>
      <c r="M352" s="7">
        <f t="shared" si="5"/>
        <v>23.88</v>
      </c>
      <c r="N352" t="str" cm="1">
        <f t="array" ref="N352">_xlfn.IFS(I352="Rob","Robusta",I352="Exc","Excelsa",I352="Ara","Arabica",I352="Lib","Liberica")</f>
        <v>Arabica</v>
      </c>
      <c r="O352" t="str" cm="1">
        <f t="array" ref="O352">_xlfn.IFS(J352="M","Medium",J352="L","Light",J352="D","Dark")</f>
        <v>Dark</v>
      </c>
      <c r="P352" t="str">
        <f>_xlfn.XLOOKUP(Orders[[#This Row],[Customer ID]],customers!$A$1:$A$1001,customers!$I$1:$I$1001,,0)</f>
        <v>No</v>
      </c>
    </row>
    <row r="353" spans="1:16" x14ac:dyDescent="0.35">
      <c r="A353" s="2" t="s">
        <v>2470</v>
      </c>
      <c r="B353" s="5">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6">
        <f>INDEX(products!$A$1:$G$49,MATCH(orders!$D353,products!$A$1:$A$49,0),MATCH(K$1,products!$A$1:$G$1,0))</f>
        <v>1</v>
      </c>
      <c r="L353" s="7">
        <f>INDEX(products!$A$1:$G$49,MATCH(orders!$D353,products!$A$1:$A$49,0),MATCH(L$1,products!$A$1:$G$1,0))</f>
        <v>11.25</v>
      </c>
      <c r="M353" s="7">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ID]],customers!$A$1:$A$1001,customers!$I$1:$I$1001,,0)</f>
        <v>No</v>
      </c>
    </row>
    <row r="354" spans="1:16" x14ac:dyDescent="0.35">
      <c r="A354" s="2" t="s">
        <v>2476</v>
      </c>
      <c r="B354" s="5">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6">
        <f>INDEX(products!$A$1:$G$49,MATCH(orders!$D354,products!$A$1:$A$49,0),MATCH(K$1,products!$A$1:$G$1,0))</f>
        <v>0.5</v>
      </c>
      <c r="L354" s="7">
        <f>INDEX(products!$A$1:$G$49,MATCH(orders!$D354,products!$A$1:$A$49,0),MATCH(L$1,products!$A$1:$G$1,0))</f>
        <v>7.29</v>
      </c>
      <c r="M354" s="7">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ID]],customers!$A$1:$A$1001,customers!$I$1:$I$1001,,0)</f>
        <v>No</v>
      </c>
    </row>
    <row r="355" spans="1:16" x14ac:dyDescent="0.35">
      <c r="A355" s="2" t="s">
        <v>2482</v>
      </c>
      <c r="B355" s="5">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6">
        <f>INDEX(products!$A$1:$G$49,MATCH(orders!$D355,products!$A$1:$A$49,0),MATCH(K$1,products!$A$1:$G$1,0))</f>
        <v>0.5</v>
      </c>
      <c r="L355" s="7">
        <f>INDEX(products!$A$1:$G$49,MATCH(orders!$D355,products!$A$1:$A$49,0),MATCH(L$1,products!$A$1:$G$1,0))</f>
        <v>6.75</v>
      </c>
      <c r="M355" s="7">
        <f t="shared" si="5"/>
        <v>27</v>
      </c>
      <c r="N355" t="str" cm="1">
        <f t="array" ref="N355">_xlfn.IFS(I355="Rob","Robusta",I355="Exc","Excelsa",I355="Ara","Arabica",I355="Lib","Liberica")</f>
        <v>Arabica</v>
      </c>
      <c r="O355" t="str" cm="1">
        <f t="array" ref="O355">_xlfn.IFS(J355="M","Medium",J355="L","Light",J355="D","Dark")</f>
        <v>Medium</v>
      </c>
      <c r="P355" t="str">
        <f>_xlfn.XLOOKUP(Orders[[#This Row],[Customer ID]],customers!$A$1:$A$1001,customers!$I$1:$I$1001,,0)</f>
        <v>Yes</v>
      </c>
    </row>
    <row r="356" spans="1:16" x14ac:dyDescent="0.35">
      <c r="A356" s="2" t="s">
        <v>2487</v>
      </c>
      <c r="B356" s="5">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6">
        <f>INDEX(products!$A$1:$G$49,MATCH(orders!$D356,products!$A$1:$A$49,0),MATCH(K$1,products!$A$1:$G$1,0))</f>
        <v>2.5</v>
      </c>
      <c r="L356" s="7">
        <f>INDEX(products!$A$1:$G$49,MATCH(orders!$D356,products!$A$1:$A$49,0),MATCH(L$1,products!$A$1:$G$1,0))</f>
        <v>25.874999999999996</v>
      </c>
      <c r="M356" s="7">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ID]],customers!$A$1:$A$1001,customers!$I$1:$I$1001,,0)</f>
        <v>No</v>
      </c>
    </row>
    <row r="357" spans="1:16" x14ac:dyDescent="0.35">
      <c r="A357" s="2" t="s">
        <v>2492</v>
      </c>
      <c r="B357" s="5">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6">
        <f>INDEX(products!$A$1:$G$49,MATCH(orders!$D357,products!$A$1:$A$49,0),MATCH(K$1,products!$A$1:$G$1,0))</f>
        <v>2.5</v>
      </c>
      <c r="L357" s="7">
        <f>INDEX(products!$A$1:$G$49,MATCH(orders!$D357,products!$A$1:$A$49,0),MATCH(L$1,products!$A$1:$G$1,0))</f>
        <v>22.884999999999998</v>
      </c>
      <c r="M357" s="7">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ID]],customers!$A$1:$A$1001,customers!$I$1:$I$1001,,0)</f>
        <v>Yes</v>
      </c>
    </row>
    <row r="358" spans="1:16" x14ac:dyDescent="0.35">
      <c r="A358" s="2" t="s">
        <v>2498</v>
      </c>
      <c r="B358" s="5">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6">
        <f>INDEX(products!$A$1:$G$49,MATCH(orders!$D358,products!$A$1:$A$49,0),MATCH(K$1,products!$A$1:$G$1,0))</f>
        <v>1</v>
      </c>
      <c r="L358" s="7">
        <f>INDEX(products!$A$1:$G$49,MATCH(orders!$D358,products!$A$1:$A$49,0),MATCH(L$1,products!$A$1:$G$1,0))</f>
        <v>12.95</v>
      </c>
      <c r="M358" s="7">
        <f t="shared" si="5"/>
        <v>51.8</v>
      </c>
      <c r="N358" t="str" cm="1">
        <f t="array" ref="N358">_xlfn.IFS(I358="Rob","Robusta",I358="Exc","Excelsa",I358="Ara","Arabica",I358="Lib","Liberica")</f>
        <v>Liberica</v>
      </c>
      <c r="O358" t="str" cm="1">
        <f t="array" ref="O358">_xlfn.IFS(J358="M","Medium",J358="L","Light",J358="D","Dark")</f>
        <v>Dark</v>
      </c>
      <c r="P358" t="str">
        <f>_xlfn.XLOOKUP(Orders[[#This Row],[Customer ID]],customers!$A$1:$A$1001,customers!$I$1:$I$1001,,0)</f>
        <v>Yes</v>
      </c>
    </row>
    <row r="359" spans="1:16" x14ac:dyDescent="0.35">
      <c r="A359" s="2" t="s">
        <v>2504</v>
      </c>
      <c r="B359" s="5">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6">
        <f>INDEX(products!$A$1:$G$49,MATCH(orders!$D359,products!$A$1:$A$49,0),MATCH(K$1,products!$A$1:$G$1,0))</f>
        <v>2.5</v>
      </c>
      <c r="L359" s="7">
        <f>INDEX(products!$A$1:$G$49,MATCH(orders!$D359,products!$A$1:$A$49,0),MATCH(L$1,products!$A$1:$G$1,0))</f>
        <v>25.874999999999996</v>
      </c>
      <c r="M359" s="7">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ID]],customers!$A$1:$A$1001,customers!$I$1:$I$1001,,0)</f>
        <v>No</v>
      </c>
    </row>
    <row r="360" spans="1:16" x14ac:dyDescent="0.35">
      <c r="A360" s="2" t="s">
        <v>2509</v>
      </c>
      <c r="B360" s="5">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6">
        <f>INDEX(products!$A$1:$G$49,MATCH(orders!$D360,products!$A$1:$A$49,0),MATCH(K$1,products!$A$1:$G$1,0))</f>
        <v>2.5</v>
      </c>
      <c r="L360" s="7">
        <f>INDEX(products!$A$1:$G$49,MATCH(orders!$D360,products!$A$1:$A$49,0),MATCH(L$1,products!$A$1:$G$1,0))</f>
        <v>29.784999999999997</v>
      </c>
      <c r="M360" s="7">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ID]],customers!$A$1:$A$1001,customers!$I$1:$I$1001,,0)</f>
        <v>No</v>
      </c>
    </row>
    <row r="361" spans="1:16" x14ac:dyDescent="0.35">
      <c r="A361" s="2" t="s">
        <v>2515</v>
      </c>
      <c r="B361" s="5">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6">
        <f>INDEX(products!$A$1:$G$49,MATCH(orders!$D361,products!$A$1:$A$49,0),MATCH(K$1,products!$A$1:$G$1,0))</f>
        <v>0.2</v>
      </c>
      <c r="L361" s="7">
        <f>INDEX(products!$A$1:$G$49,MATCH(orders!$D361,products!$A$1:$A$49,0),MATCH(L$1,products!$A$1:$G$1,0))</f>
        <v>3.5849999999999995</v>
      </c>
      <c r="M361" s="7">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ID]],customers!$A$1:$A$1001,customers!$I$1:$I$1001,,0)</f>
        <v>No</v>
      </c>
    </row>
    <row r="362" spans="1:16" x14ac:dyDescent="0.35">
      <c r="A362" s="2" t="s">
        <v>2521</v>
      </c>
      <c r="B362" s="5">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6">
        <f>INDEX(products!$A$1:$G$49,MATCH(orders!$D362,products!$A$1:$A$49,0),MATCH(K$1,products!$A$1:$G$1,0))</f>
        <v>2.5</v>
      </c>
      <c r="L362" s="7">
        <f>INDEX(products!$A$1:$G$49,MATCH(orders!$D362,products!$A$1:$A$49,0),MATCH(L$1,products!$A$1:$G$1,0))</f>
        <v>20.584999999999997</v>
      </c>
      <c r="M362" s="7">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ID]],customers!$A$1:$A$1001,customers!$I$1:$I$1001,,0)</f>
        <v>No</v>
      </c>
    </row>
    <row r="363" spans="1:16" x14ac:dyDescent="0.35">
      <c r="A363" s="2" t="s">
        <v>2521</v>
      </c>
      <c r="B363" s="5">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6">
        <f>INDEX(products!$A$1:$G$49,MATCH(orders!$D363,products!$A$1:$A$49,0),MATCH(K$1,products!$A$1:$G$1,0))</f>
        <v>0.5</v>
      </c>
      <c r="L363" s="7">
        <f>INDEX(products!$A$1:$G$49,MATCH(orders!$D363,products!$A$1:$A$49,0),MATCH(L$1,products!$A$1:$G$1,0))</f>
        <v>5.97</v>
      </c>
      <c r="M363" s="7">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ID]],customers!$A$1:$A$1001,customers!$I$1:$I$1001,,0)</f>
        <v>No</v>
      </c>
    </row>
    <row r="364" spans="1:16" x14ac:dyDescent="0.35">
      <c r="A364" s="2" t="s">
        <v>2532</v>
      </c>
      <c r="B364" s="5">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6">
        <f>INDEX(products!$A$1:$G$49,MATCH(orders!$D364,products!$A$1:$A$49,0),MATCH(K$1,products!$A$1:$G$1,0))</f>
        <v>1</v>
      </c>
      <c r="L364" s="7">
        <f>INDEX(products!$A$1:$G$49,MATCH(orders!$D364,products!$A$1:$A$49,0),MATCH(L$1,products!$A$1:$G$1,0))</f>
        <v>14.85</v>
      </c>
      <c r="M364" s="7">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ID]],customers!$A$1:$A$1001,customers!$I$1:$I$1001,,0)</f>
        <v>Yes</v>
      </c>
    </row>
    <row r="365" spans="1:16" x14ac:dyDescent="0.35">
      <c r="A365" s="2" t="s">
        <v>2538</v>
      </c>
      <c r="B365" s="5">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6">
        <f>INDEX(products!$A$1:$G$49,MATCH(orders!$D365,products!$A$1:$A$49,0),MATCH(K$1,products!$A$1:$G$1,0))</f>
        <v>1</v>
      </c>
      <c r="L365" s="7">
        <f>INDEX(products!$A$1:$G$49,MATCH(orders!$D365,products!$A$1:$A$49,0),MATCH(L$1,products!$A$1:$G$1,0))</f>
        <v>14.55</v>
      </c>
      <c r="M365" s="7">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ID]],customers!$A$1:$A$1001,customers!$I$1:$I$1001,,0)</f>
        <v>No</v>
      </c>
    </row>
    <row r="366" spans="1:16" x14ac:dyDescent="0.35">
      <c r="A366" s="2" t="s">
        <v>2543</v>
      </c>
      <c r="B366" s="5">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6">
        <f>INDEX(products!$A$1:$G$49,MATCH(orders!$D366,products!$A$1:$A$49,0),MATCH(K$1,products!$A$1:$G$1,0))</f>
        <v>1</v>
      </c>
      <c r="L366" s="7">
        <f>INDEX(products!$A$1:$G$49,MATCH(orders!$D366,products!$A$1:$A$49,0),MATCH(L$1,products!$A$1:$G$1,0))</f>
        <v>12.15</v>
      </c>
      <c r="M366" s="7">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ID]],customers!$A$1:$A$1001,customers!$I$1:$I$1001,,0)</f>
        <v>Yes</v>
      </c>
    </row>
    <row r="367" spans="1:16" x14ac:dyDescent="0.35">
      <c r="A367" s="2" t="s">
        <v>2549</v>
      </c>
      <c r="B367" s="5">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6">
        <f>INDEX(products!$A$1:$G$49,MATCH(orders!$D367,products!$A$1:$A$49,0),MATCH(K$1,products!$A$1:$G$1,0))</f>
        <v>0.5</v>
      </c>
      <c r="L367" s="7">
        <f>INDEX(products!$A$1:$G$49,MATCH(orders!$D367,products!$A$1:$A$49,0),MATCH(L$1,products!$A$1:$G$1,0))</f>
        <v>7.77</v>
      </c>
      <c r="M367" s="7">
        <f t="shared" si="5"/>
        <v>7.77</v>
      </c>
      <c r="N367" t="str" cm="1">
        <f t="array" ref="N367">_xlfn.IFS(I367="Rob","Robusta",I367="Exc","Excelsa",I367="Ara","Arabica",I367="Lib","Liberica")</f>
        <v>Liberica</v>
      </c>
      <c r="O367" t="str" cm="1">
        <f t="array" ref="O367">_xlfn.IFS(J367="M","Medium",J367="L","Light",J367="D","Dark")</f>
        <v>Dark</v>
      </c>
      <c r="P367" t="str">
        <f>_xlfn.XLOOKUP(Orders[[#This Row],[Customer ID]],customers!$A$1:$A$1001,customers!$I$1:$I$1001,,0)</f>
        <v>No</v>
      </c>
    </row>
    <row r="368" spans="1:16" x14ac:dyDescent="0.35">
      <c r="A368" s="2" t="s">
        <v>2554</v>
      </c>
      <c r="B368" s="5">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6">
        <f>INDEX(products!$A$1:$G$49,MATCH(orders!$D368,products!$A$1:$A$49,0),MATCH(K$1,products!$A$1:$G$1,0))</f>
        <v>0.5</v>
      </c>
      <c r="L368" s="7">
        <f>INDEX(products!$A$1:$G$49,MATCH(orders!$D368,products!$A$1:$A$49,0),MATCH(L$1,products!$A$1:$G$1,0))</f>
        <v>7.29</v>
      </c>
      <c r="M368" s="7">
        <f t="shared" si="5"/>
        <v>43.74</v>
      </c>
      <c r="N368" t="str" cm="1">
        <f t="array" ref="N368">_xlfn.IFS(I368="Rob","Robusta",I368="Exc","Excelsa",I368="Ara","Arabica",I368="Lib","Liberica")</f>
        <v>Excelsa</v>
      </c>
      <c r="O368" t="str" cm="1">
        <f t="array" ref="O368">_xlfn.IFS(J368="M","Medium",J368="L","Light",J368="D","Dark")</f>
        <v>Dark</v>
      </c>
      <c r="P368" t="str">
        <f>_xlfn.XLOOKUP(Orders[[#This Row],[Customer ID]],customers!$A$1:$A$1001,customers!$I$1:$I$1001,,0)</f>
        <v>No</v>
      </c>
    </row>
    <row r="369" spans="1:16" x14ac:dyDescent="0.35">
      <c r="A369" s="2" t="s">
        <v>2559</v>
      </c>
      <c r="B369" s="5">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6">
        <f>INDEX(products!$A$1:$G$49,MATCH(orders!$D369,products!$A$1:$A$49,0),MATCH(K$1,products!$A$1:$G$1,0))</f>
        <v>0.2</v>
      </c>
      <c r="L369" s="7">
        <f>INDEX(products!$A$1:$G$49,MATCH(orders!$D369,products!$A$1:$A$49,0),MATCH(L$1,products!$A$1:$G$1,0))</f>
        <v>4.3650000000000002</v>
      </c>
      <c r="M369" s="7">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ID]],customers!$A$1:$A$1001,customers!$I$1:$I$1001,,0)</f>
        <v>Yes</v>
      </c>
    </row>
    <row r="370" spans="1:16" x14ac:dyDescent="0.35">
      <c r="A370" s="2" t="s">
        <v>2563</v>
      </c>
      <c r="B370" s="5">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6">
        <f>INDEX(products!$A$1:$G$49,MATCH(orders!$D370,products!$A$1:$A$49,0),MATCH(K$1,products!$A$1:$G$1,0))</f>
        <v>2.5</v>
      </c>
      <c r="L370" s="7">
        <f>INDEX(products!$A$1:$G$49,MATCH(orders!$D370,products!$A$1:$A$49,0),MATCH(L$1,products!$A$1:$G$1,0))</f>
        <v>31.624999999999996</v>
      </c>
      <c r="M370" s="7">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ID]],customers!$A$1:$A$1001,customers!$I$1:$I$1001,,0)</f>
        <v>No</v>
      </c>
    </row>
    <row r="371" spans="1:16" x14ac:dyDescent="0.35">
      <c r="A371" s="2" t="s">
        <v>2569</v>
      </c>
      <c r="B371" s="5">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6">
        <f>INDEX(products!$A$1:$G$49,MATCH(orders!$D371,products!$A$1:$A$49,0),MATCH(K$1,products!$A$1:$G$1,0))</f>
        <v>0.5</v>
      </c>
      <c r="L371" s="7">
        <f>INDEX(products!$A$1:$G$49,MATCH(orders!$D371,products!$A$1:$A$49,0),MATCH(L$1,products!$A$1:$G$1,0))</f>
        <v>8.91</v>
      </c>
      <c r="M371" s="7">
        <f t="shared" si="5"/>
        <v>8.91</v>
      </c>
      <c r="N371" t="str" cm="1">
        <f t="array" ref="N371">_xlfn.IFS(I371="Rob","Robusta",I371="Exc","Excelsa",I371="Ara","Arabica",I371="Lib","Liberica")</f>
        <v>Excelsa</v>
      </c>
      <c r="O371" t="str" cm="1">
        <f t="array" ref="O371">_xlfn.IFS(J371="M","Medium",J371="L","Light",J371="D","Dark")</f>
        <v>Light</v>
      </c>
      <c r="P371" t="str">
        <f>_xlfn.XLOOKUP(Orders[[#This Row],[Customer ID]],customers!$A$1:$A$1001,customers!$I$1:$I$1001,,0)</f>
        <v>Yes</v>
      </c>
    </row>
    <row r="372" spans="1:16" x14ac:dyDescent="0.35">
      <c r="A372" s="2" t="s">
        <v>2573</v>
      </c>
      <c r="B372" s="5">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6">
        <f>INDEX(products!$A$1:$G$49,MATCH(orders!$D372,products!$A$1:$A$49,0),MATCH(K$1,products!$A$1:$G$1,0))</f>
        <v>1</v>
      </c>
      <c r="L372" s="7">
        <f>INDEX(products!$A$1:$G$49,MATCH(orders!$D372,products!$A$1:$A$49,0),MATCH(L$1,products!$A$1:$G$1,0))</f>
        <v>12.15</v>
      </c>
      <c r="M372" s="7">
        <f t="shared" si="5"/>
        <v>24.3</v>
      </c>
      <c r="N372" t="str" cm="1">
        <f t="array" ref="N372">_xlfn.IFS(I372="Rob","Robusta",I372="Exc","Excelsa",I372="Ara","Arabica",I372="Lib","Liberica")</f>
        <v>Excelsa</v>
      </c>
      <c r="O372" t="str" cm="1">
        <f t="array" ref="O372">_xlfn.IFS(J372="M","Medium",J372="L","Light",J372="D","Dark")</f>
        <v>Dark</v>
      </c>
      <c r="P372" t="str">
        <f>_xlfn.XLOOKUP(Orders[[#This Row],[Customer ID]],customers!$A$1:$A$1001,customers!$I$1:$I$1001,,0)</f>
        <v>Yes</v>
      </c>
    </row>
    <row r="373" spans="1:16" x14ac:dyDescent="0.35">
      <c r="A373" s="2" t="s">
        <v>2579</v>
      </c>
      <c r="B373" s="5">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6">
        <f>INDEX(products!$A$1:$G$49,MATCH(orders!$D373,products!$A$1:$A$49,0),MATCH(K$1,products!$A$1:$G$1,0))</f>
        <v>0.5</v>
      </c>
      <c r="L373" s="7">
        <f>INDEX(products!$A$1:$G$49,MATCH(orders!$D373,products!$A$1:$A$49,0),MATCH(L$1,products!$A$1:$G$1,0))</f>
        <v>7.77</v>
      </c>
      <c r="M373" s="7">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ID]],customers!$A$1:$A$1001,customers!$I$1:$I$1001,,0)</f>
        <v>Yes</v>
      </c>
    </row>
    <row r="374" spans="1:16" x14ac:dyDescent="0.35">
      <c r="A374" s="2" t="s">
        <v>2585</v>
      </c>
      <c r="B374" s="5">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6">
        <f>INDEX(products!$A$1:$G$49,MATCH(orders!$D374,products!$A$1:$A$49,0),MATCH(K$1,products!$A$1:$G$1,0))</f>
        <v>0.5</v>
      </c>
      <c r="L374" s="7">
        <f>INDEX(products!$A$1:$G$49,MATCH(orders!$D374,products!$A$1:$A$49,0),MATCH(L$1,products!$A$1:$G$1,0))</f>
        <v>7.169999999999999</v>
      </c>
      <c r="M374" s="7">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ID]],customers!$A$1:$A$1001,customers!$I$1:$I$1001,,0)</f>
        <v>No</v>
      </c>
    </row>
    <row r="375" spans="1:16" x14ac:dyDescent="0.35">
      <c r="A375" s="2" t="s">
        <v>2591</v>
      </c>
      <c r="B375" s="5">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6">
        <f>INDEX(products!$A$1:$G$49,MATCH(orders!$D375,products!$A$1:$A$49,0),MATCH(K$1,products!$A$1:$G$1,0))</f>
        <v>0.5</v>
      </c>
      <c r="L375" s="7">
        <f>INDEX(products!$A$1:$G$49,MATCH(orders!$D375,products!$A$1:$A$49,0),MATCH(L$1,products!$A$1:$G$1,0))</f>
        <v>5.97</v>
      </c>
      <c r="M375" s="7">
        <f t="shared" si="5"/>
        <v>17.91</v>
      </c>
      <c r="N375" t="str" cm="1">
        <f t="array" ref="N375">_xlfn.IFS(I375="Rob","Robusta",I375="Exc","Excelsa",I375="Ara","Arabica",I375="Lib","Liberica")</f>
        <v>Arabica</v>
      </c>
      <c r="O375" t="str" cm="1">
        <f t="array" ref="O375">_xlfn.IFS(J375="M","Medium",J375="L","Light",J375="D","Dark")</f>
        <v>Dark</v>
      </c>
      <c r="P375" t="str">
        <f>_xlfn.XLOOKUP(Orders[[#This Row],[Customer ID]],customers!$A$1:$A$1001,customers!$I$1:$I$1001,,0)</f>
        <v>Yes</v>
      </c>
    </row>
    <row r="376" spans="1:16" x14ac:dyDescent="0.35">
      <c r="A376" s="2" t="s">
        <v>2597</v>
      </c>
      <c r="B376" s="5">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6">
        <f>INDEX(products!$A$1:$G$49,MATCH(orders!$D376,products!$A$1:$A$49,0),MATCH(K$1,products!$A$1:$G$1,0))</f>
        <v>0.5</v>
      </c>
      <c r="L376" s="7">
        <f>INDEX(products!$A$1:$G$49,MATCH(orders!$D376,products!$A$1:$A$49,0),MATCH(L$1,products!$A$1:$G$1,0))</f>
        <v>9.51</v>
      </c>
      <c r="M376" s="7">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ID]],customers!$A$1:$A$1001,customers!$I$1:$I$1001,,0)</f>
        <v>Yes</v>
      </c>
    </row>
    <row r="377" spans="1:16" x14ac:dyDescent="0.35">
      <c r="A377" s="2" t="s">
        <v>2603</v>
      </c>
      <c r="B377" s="5">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6">
        <f>INDEX(products!$A$1:$G$49,MATCH(orders!$D377,products!$A$1:$A$49,0),MATCH(K$1,products!$A$1:$G$1,0))</f>
        <v>0.2</v>
      </c>
      <c r="L377" s="7">
        <f>INDEX(products!$A$1:$G$49,MATCH(orders!$D377,products!$A$1:$A$49,0),MATCH(L$1,products!$A$1:$G$1,0))</f>
        <v>3.375</v>
      </c>
      <c r="M377" s="7">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ID]],customers!$A$1:$A$1001,customers!$I$1:$I$1001,,0)</f>
        <v>Yes</v>
      </c>
    </row>
    <row r="378" spans="1:16" x14ac:dyDescent="0.35">
      <c r="A378" s="2" t="s">
        <v>2609</v>
      </c>
      <c r="B378" s="5">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6">
        <f>INDEX(products!$A$1:$G$49,MATCH(orders!$D378,products!$A$1:$A$49,0),MATCH(K$1,products!$A$1:$G$1,0))</f>
        <v>0.5</v>
      </c>
      <c r="L378" s="7">
        <f>INDEX(products!$A$1:$G$49,MATCH(orders!$D378,products!$A$1:$A$49,0),MATCH(L$1,products!$A$1:$G$1,0))</f>
        <v>5.97</v>
      </c>
      <c r="M378" s="7">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ID]],customers!$A$1:$A$1001,customers!$I$1:$I$1001,,0)</f>
        <v>Yes</v>
      </c>
    </row>
    <row r="379" spans="1:16" x14ac:dyDescent="0.35">
      <c r="A379" s="2" t="s">
        <v>2615</v>
      </c>
      <c r="B379" s="5">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6">
        <f>INDEX(products!$A$1:$G$49,MATCH(orders!$D379,products!$A$1:$A$49,0),MATCH(K$1,products!$A$1:$G$1,0))</f>
        <v>0.2</v>
      </c>
      <c r="L379" s="7">
        <f>INDEX(products!$A$1:$G$49,MATCH(orders!$D379,products!$A$1:$A$49,0),MATCH(L$1,products!$A$1:$G$1,0))</f>
        <v>2.6849999999999996</v>
      </c>
      <c r="M379" s="7">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ID]],customers!$A$1:$A$1001,customers!$I$1:$I$1001,,0)</f>
        <v>No</v>
      </c>
    </row>
    <row r="380" spans="1:16" x14ac:dyDescent="0.35">
      <c r="A380" s="2" t="s">
        <v>2621</v>
      </c>
      <c r="B380" s="5">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6">
        <f>INDEX(products!$A$1:$G$49,MATCH(orders!$D380,products!$A$1:$A$49,0),MATCH(K$1,products!$A$1:$G$1,0))</f>
        <v>0.5</v>
      </c>
      <c r="L380" s="7">
        <f>INDEX(products!$A$1:$G$49,MATCH(orders!$D380,products!$A$1:$A$49,0),MATCH(L$1,products!$A$1:$G$1,0))</f>
        <v>7.77</v>
      </c>
      <c r="M380" s="7">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ID]],customers!$A$1:$A$1001,customers!$I$1:$I$1001,,0)</f>
        <v>Yes</v>
      </c>
    </row>
    <row r="381" spans="1:16" x14ac:dyDescent="0.35">
      <c r="A381" s="2" t="s">
        <v>2627</v>
      </c>
      <c r="B381" s="5">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6">
        <f>INDEX(products!$A$1:$G$49,MATCH(orders!$D381,products!$A$1:$A$49,0),MATCH(K$1,products!$A$1:$G$1,0))</f>
        <v>0.5</v>
      </c>
      <c r="L381" s="7">
        <f>INDEX(products!$A$1:$G$49,MATCH(orders!$D381,products!$A$1:$A$49,0),MATCH(L$1,products!$A$1:$G$1,0))</f>
        <v>7.169999999999999</v>
      </c>
      <c r="M381" s="7">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ID]],customers!$A$1:$A$1001,customers!$I$1:$I$1001,,0)</f>
        <v>Yes</v>
      </c>
    </row>
    <row r="382" spans="1:16" x14ac:dyDescent="0.35">
      <c r="A382" s="2" t="s">
        <v>2632</v>
      </c>
      <c r="B382" s="5">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6">
        <f>INDEX(products!$A$1:$G$49,MATCH(orders!$D382,products!$A$1:$A$49,0),MATCH(K$1,products!$A$1:$G$1,0))</f>
        <v>0.5</v>
      </c>
      <c r="L382" s="7">
        <f>INDEX(products!$A$1:$G$49,MATCH(orders!$D382,products!$A$1:$A$49,0),MATCH(L$1,products!$A$1:$G$1,0))</f>
        <v>7.77</v>
      </c>
      <c r="M382" s="7">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ID]],customers!$A$1:$A$1001,customers!$I$1:$I$1001,,0)</f>
        <v>No</v>
      </c>
    </row>
    <row r="383" spans="1:16" x14ac:dyDescent="0.35">
      <c r="A383" s="2" t="s">
        <v>2638</v>
      </c>
      <c r="B383" s="5">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6">
        <f>INDEX(products!$A$1:$G$49,MATCH(orders!$D383,products!$A$1:$A$49,0),MATCH(K$1,products!$A$1:$G$1,0))</f>
        <v>0.2</v>
      </c>
      <c r="L383" s="7">
        <f>INDEX(products!$A$1:$G$49,MATCH(orders!$D383,products!$A$1:$A$49,0),MATCH(L$1,products!$A$1:$G$1,0))</f>
        <v>2.9849999999999999</v>
      </c>
      <c r="M383" s="7">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ID]],customers!$A$1:$A$1001,customers!$I$1:$I$1001,,0)</f>
        <v>Yes</v>
      </c>
    </row>
    <row r="384" spans="1:16" x14ac:dyDescent="0.35">
      <c r="A384" s="2" t="s">
        <v>2644</v>
      </c>
      <c r="B384" s="5">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6">
        <f>INDEX(products!$A$1:$G$49,MATCH(orders!$D384,products!$A$1:$A$49,0),MATCH(K$1,products!$A$1:$G$1,0))</f>
        <v>0.5</v>
      </c>
      <c r="L384" s="7">
        <f>INDEX(products!$A$1:$G$49,MATCH(orders!$D384,products!$A$1:$A$49,0),MATCH(L$1,products!$A$1:$G$1,0))</f>
        <v>7.29</v>
      </c>
      <c r="M384" s="7">
        <f t="shared" si="5"/>
        <v>21.87</v>
      </c>
      <c r="N384" t="str" cm="1">
        <f t="array" ref="N384">_xlfn.IFS(I384="Rob","Robusta",I384="Exc","Excelsa",I384="Ara","Arabica",I384="Lib","Liberica")</f>
        <v>Excelsa</v>
      </c>
      <c r="O384" t="str" cm="1">
        <f t="array" ref="O384">_xlfn.IFS(J384="M","Medium",J384="L","Light",J384="D","Dark")</f>
        <v>Dark</v>
      </c>
      <c r="P384" t="str">
        <f>_xlfn.XLOOKUP(Orders[[#This Row],[Customer ID]],customers!$A$1:$A$1001,customers!$I$1:$I$1001,,0)</f>
        <v>No</v>
      </c>
    </row>
    <row r="385" spans="1:16" x14ac:dyDescent="0.35">
      <c r="A385" s="2" t="s">
        <v>2650</v>
      </c>
      <c r="B385" s="5">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6">
        <f>INDEX(products!$A$1:$G$49,MATCH(orders!$D385,products!$A$1:$A$49,0),MATCH(K$1,products!$A$1:$G$1,0))</f>
        <v>0.5</v>
      </c>
      <c r="L385" s="7">
        <f>INDEX(products!$A$1:$G$49,MATCH(orders!$D385,products!$A$1:$A$49,0),MATCH(L$1,products!$A$1:$G$1,0))</f>
        <v>8.91</v>
      </c>
      <c r="M385" s="7">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ID]],customers!$A$1:$A$1001,customers!$I$1:$I$1001,,0)</f>
        <v>Yes</v>
      </c>
    </row>
    <row r="386" spans="1:16" x14ac:dyDescent="0.35">
      <c r="A386" s="2" t="s">
        <v>2655</v>
      </c>
      <c r="B386" s="5">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6">
        <f>INDEX(products!$A$1:$G$49,MATCH(orders!$D386,products!$A$1:$A$49,0),MATCH(K$1,products!$A$1:$G$1,0))</f>
        <v>2.5</v>
      </c>
      <c r="L386" s="7">
        <f>INDEX(products!$A$1:$G$49,MATCH(orders!$D386,products!$A$1:$A$49,0),MATCH(L$1,products!$A$1:$G$1,0))</f>
        <v>29.784999999999997</v>
      </c>
      <c r="M386" s="7">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ID]],customers!$A$1:$A$1001,customers!$I$1:$I$1001,,0)</f>
        <v>No</v>
      </c>
    </row>
    <row r="387" spans="1:16" x14ac:dyDescent="0.35">
      <c r="A387" s="2" t="s">
        <v>2660</v>
      </c>
      <c r="B387" s="5">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6">
        <f>INDEX(products!$A$1:$G$49,MATCH(orders!$D387,products!$A$1:$A$49,0),MATCH(K$1,products!$A$1:$G$1,0))</f>
        <v>0.5</v>
      </c>
      <c r="L387" s="7">
        <f>INDEX(products!$A$1:$G$49,MATCH(orders!$D387,products!$A$1:$A$49,0),MATCH(L$1,products!$A$1:$G$1,0))</f>
        <v>8.73</v>
      </c>
      <c r="M387" s="7">
        <f t="shared" ref="M387:M450" si="6">PRODUCT(L387,E387)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ID]],customers!$A$1:$A$1001,customers!$I$1:$I$1001,,0)</f>
        <v>Yes</v>
      </c>
    </row>
    <row r="388" spans="1:16" x14ac:dyDescent="0.35">
      <c r="A388" s="2" t="s">
        <v>2666</v>
      </c>
      <c r="B388" s="5">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6">
        <f>INDEX(products!$A$1:$G$49,MATCH(orders!$D388,products!$A$1:$A$49,0),MATCH(K$1,products!$A$1:$G$1,0))</f>
        <v>0.2</v>
      </c>
      <c r="L388" s="7">
        <f>INDEX(products!$A$1:$G$49,MATCH(orders!$D388,products!$A$1:$A$49,0),MATCH(L$1,products!$A$1:$G$1,0))</f>
        <v>2.9849999999999999</v>
      </c>
      <c r="M388" s="7">
        <f t="shared" si="6"/>
        <v>17.91</v>
      </c>
      <c r="N388" t="str" cm="1">
        <f t="array" ref="N388">_xlfn.IFS(I388="Rob","Robusta",I388="Exc","Excelsa",I388="Ara","Arabica",I388="Lib","Liberica")</f>
        <v>Arabica</v>
      </c>
      <c r="O388" t="str" cm="1">
        <f t="array" ref="O388">_xlfn.IFS(J388="M","Medium",J388="L","Light",J388="D","Dark")</f>
        <v>Dark</v>
      </c>
      <c r="P388" t="str">
        <f>_xlfn.XLOOKUP(Orders[[#This Row],[Customer ID]],customers!$A$1:$A$1001,customers!$I$1:$I$1001,,0)</f>
        <v>Yes</v>
      </c>
    </row>
    <row r="389" spans="1:16" x14ac:dyDescent="0.35">
      <c r="A389" s="2" t="s">
        <v>2671</v>
      </c>
      <c r="B389" s="5">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6">
        <f>INDEX(products!$A$1:$G$49,MATCH(orders!$D389,products!$A$1:$A$49,0),MATCH(K$1,products!$A$1:$G$1,0))</f>
        <v>1</v>
      </c>
      <c r="L389" s="7">
        <f>INDEX(products!$A$1:$G$49,MATCH(orders!$D389,products!$A$1:$A$49,0),MATCH(L$1,products!$A$1:$G$1,0))</f>
        <v>14.85</v>
      </c>
      <c r="M389" s="7">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ID]],customers!$A$1:$A$1001,customers!$I$1:$I$1001,,0)</f>
        <v>Yes</v>
      </c>
    </row>
    <row r="390" spans="1:16" x14ac:dyDescent="0.35">
      <c r="A390" s="2" t="s">
        <v>2677</v>
      </c>
      <c r="B390" s="5">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6">
        <f>INDEX(products!$A$1:$G$49,MATCH(orders!$D390,products!$A$1:$A$49,0),MATCH(K$1,products!$A$1:$G$1,0))</f>
        <v>0.2</v>
      </c>
      <c r="L390" s="7">
        <f>INDEX(products!$A$1:$G$49,MATCH(orders!$D390,products!$A$1:$A$49,0),MATCH(L$1,products!$A$1:$G$1,0))</f>
        <v>3.8849999999999998</v>
      </c>
      <c r="M390" s="7">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ID]],customers!$A$1:$A$1001,customers!$I$1:$I$1001,,0)</f>
        <v>Yes</v>
      </c>
    </row>
    <row r="391" spans="1:16" x14ac:dyDescent="0.35">
      <c r="A391" s="2" t="s">
        <v>2683</v>
      </c>
      <c r="B391" s="5">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6">
        <f>INDEX(products!$A$1:$G$49,MATCH(orders!$D391,products!$A$1:$A$49,0),MATCH(K$1,products!$A$1:$G$1,0))</f>
        <v>0.5</v>
      </c>
      <c r="L391" s="7">
        <f>INDEX(products!$A$1:$G$49,MATCH(orders!$D391,products!$A$1:$A$49,0),MATCH(L$1,products!$A$1:$G$1,0))</f>
        <v>7.77</v>
      </c>
      <c r="M391" s="7">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ID]],customers!$A$1:$A$1001,customers!$I$1:$I$1001,,0)</f>
        <v>Yes</v>
      </c>
    </row>
    <row r="392" spans="1:16" x14ac:dyDescent="0.35">
      <c r="A392" s="2" t="s">
        <v>2689</v>
      </c>
      <c r="B392" s="5">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6">
        <f>INDEX(products!$A$1:$G$49,MATCH(orders!$D392,products!$A$1:$A$49,0),MATCH(K$1,products!$A$1:$G$1,0))</f>
        <v>0.5</v>
      </c>
      <c r="L392" s="7">
        <f>INDEX(products!$A$1:$G$49,MATCH(orders!$D392,products!$A$1:$A$49,0),MATCH(L$1,products!$A$1:$G$1,0))</f>
        <v>7.29</v>
      </c>
      <c r="M392" s="7">
        <f t="shared" si="6"/>
        <v>14.58</v>
      </c>
      <c r="N392" t="str" cm="1">
        <f t="array" ref="N392">_xlfn.IFS(I392="Rob","Robusta",I392="Exc","Excelsa",I392="Ara","Arabica",I392="Lib","Liberica")</f>
        <v>Excelsa</v>
      </c>
      <c r="O392" t="str" cm="1">
        <f t="array" ref="O392">_xlfn.IFS(J392="M","Medium",J392="L","Light",J392="D","Dark")</f>
        <v>Dark</v>
      </c>
      <c r="P392" t="str">
        <f>_xlfn.XLOOKUP(Orders[[#This Row],[Customer ID]],customers!$A$1:$A$1001,customers!$I$1:$I$1001,,0)</f>
        <v>Yes</v>
      </c>
    </row>
    <row r="393" spans="1:16" x14ac:dyDescent="0.35">
      <c r="A393" s="2" t="s">
        <v>2694</v>
      </c>
      <c r="B393" s="5">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6">
        <f>INDEX(products!$A$1:$G$49,MATCH(orders!$D393,products!$A$1:$A$49,0),MATCH(K$1,products!$A$1:$G$1,0))</f>
        <v>0.5</v>
      </c>
      <c r="L393" s="7">
        <f>INDEX(products!$A$1:$G$49,MATCH(orders!$D393,products!$A$1:$A$49,0),MATCH(L$1,products!$A$1:$G$1,0))</f>
        <v>6.75</v>
      </c>
      <c r="M393" s="7">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ID]],customers!$A$1:$A$1001,customers!$I$1:$I$1001,,0)</f>
        <v>No</v>
      </c>
    </row>
    <row r="394" spans="1:16" x14ac:dyDescent="0.35">
      <c r="A394" s="2" t="s">
        <v>2699</v>
      </c>
      <c r="B394" s="5">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6">
        <f>INDEX(products!$A$1:$G$49,MATCH(orders!$D394,products!$A$1:$A$49,0),MATCH(K$1,products!$A$1:$G$1,0))</f>
        <v>1</v>
      </c>
      <c r="L394" s="7">
        <f>INDEX(products!$A$1:$G$49,MATCH(orders!$D394,products!$A$1:$A$49,0),MATCH(L$1,products!$A$1:$G$1,0))</f>
        <v>14.85</v>
      </c>
      <c r="M394" s="7">
        <f t="shared" si="6"/>
        <v>89.1</v>
      </c>
      <c r="N394" t="str" cm="1">
        <f t="array" ref="N394">_xlfn.IFS(I394="Rob","Robusta",I394="Exc","Excelsa",I394="Ara","Arabica",I394="Lib","Liberica")</f>
        <v>Excelsa</v>
      </c>
      <c r="O394" t="str" cm="1">
        <f t="array" ref="O394">_xlfn.IFS(J394="M","Medium",J394="L","Light",J394="D","Dark")</f>
        <v>Light</v>
      </c>
      <c r="P394" t="str">
        <f>_xlfn.XLOOKUP(Orders[[#This Row],[Customer ID]],customers!$A$1:$A$1001,customers!$I$1:$I$1001,,0)</f>
        <v>No</v>
      </c>
    </row>
    <row r="395" spans="1:16" x14ac:dyDescent="0.35">
      <c r="A395" s="2" t="s">
        <v>2699</v>
      </c>
      <c r="B395" s="5">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6">
        <f>INDEX(products!$A$1:$G$49,MATCH(orders!$D395,products!$A$1:$A$49,0),MATCH(K$1,products!$A$1:$G$1,0))</f>
        <v>0.2</v>
      </c>
      <c r="L395" s="7">
        <f>INDEX(products!$A$1:$G$49,MATCH(orders!$D395,products!$A$1:$A$49,0),MATCH(L$1,products!$A$1:$G$1,0))</f>
        <v>3.8849999999999998</v>
      </c>
      <c r="M395" s="7">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ID]],customers!$A$1:$A$1001,customers!$I$1:$I$1001,,0)</f>
        <v>No</v>
      </c>
    </row>
    <row r="396" spans="1:16" x14ac:dyDescent="0.35">
      <c r="A396" s="2" t="s">
        <v>2710</v>
      </c>
      <c r="B396" s="5">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6">
        <f>INDEX(products!$A$1:$G$49,MATCH(orders!$D396,products!$A$1:$A$49,0),MATCH(K$1,products!$A$1:$G$1,0))</f>
        <v>2.5</v>
      </c>
      <c r="L396" s="7">
        <f>INDEX(products!$A$1:$G$49,MATCH(orders!$D396,products!$A$1:$A$49,0),MATCH(L$1,products!$A$1:$G$1,0))</f>
        <v>27.484999999999996</v>
      </c>
      <c r="M396" s="7">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ID]],customers!$A$1:$A$1001,customers!$I$1:$I$1001,,0)</f>
        <v>No</v>
      </c>
    </row>
    <row r="397" spans="1:16" x14ac:dyDescent="0.35">
      <c r="A397" s="2" t="s">
        <v>2716</v>
      </c>
      <c r="B397" s="5">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6">
        <f>INDEX(products!$A$1:$G$49,MATCH(orders!$D397,products!$A$1:$A$49,0),MATCH(K$1,products!$A$1:$G$1,0))</f>
        <v>0.5</v>
      </c>
      <c r="L397" s="7">
        <f>INDEX(products!$A$1:$G$49,MATCH(orders!$D397,products!$A$1:$A$49,0),MATCH(L$1,products!$A$1:$G$1,0))</f>
        <v>7.77</v>
      </c>
      <c r="M397" s="7">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ID]],customers!$A$1:$A$1001,customers!$I$1:$I$1001,,0)</f>
        <v>Yes</v>
      </c>
    </row>
    <row r="398" spans="1:16" x14ac:dyDescent="0.35">
      <c r="A398" s="2" t="s">
        <v>2721</v>
      </c>
      <c r="B398" s="5">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6">
        <f>INDEX(products!$A$1:$G$49,MATCH(orders!$D398,products!$A$1:$A$49,0),MATCH(K$1,products!$A$1:$G$1,0))</f>
        <v>0.5</v>
      </c>
      <c r="L398" s="7">
        <f>INDEX(products!$A$1:$G$49,MATCH(orders!$D398,products!$A$1:$A$49,0),MATCH(L$1,products!$A$1:$G$1,0))</f>
        <v>7.77</v>
      </c>
      <c r="M398" s="7">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ID]],customers!$A$1:$A$1001,customers!$I$1:$I$1001,,0)</f>
        <v>No</v>
      </c>
    </row>
    <row r="399" spans="1:16" x14ac:dyDescent="0.35">
      <c r="A399" s="2" t="s">
        <v>2727</v>
      </c>
      <c r="B399" s="5">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6">
        <f>INDEX(products!$A$1:$G$49,MATCH(orders!$D399,products!$A$1:$A$49,0),MATCH(K$1,products!$A$1:$G$1,0))</f>
        <v>0.5</v>
      </c>
      <c r="L399" s="7">
        <f>INDEX(products!$A$1:$G$49,MATCH(orders!$D399,products!$A$1:$A$49,0),MATCH(L$1,products!$A$1:$G$1,0))</f>
        <v>7.77</v>
      </c>
      <c r="M399" s="7">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ID]],customers!$A$1:$A$1001,customers!$I$1:$I$1001,,0)</f>
        <v>Yes</v>
      </c>
    </row>
    <row r="400" spans="1:16" x14ac:dyDescent="0.35">
      <c r="A400" s="2" t="s">
        <v>2733</v>
      </c>
      <c r="B400" s="5">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6">
        <f>INDEX(products!$A$1:$G$49,MATCH(orders!$D400,products!$A$1:$A$49,0),MATCH(K$1,products!$A$1:$G$1,0))</f>
        <v>0.2</v>
      </c>
      <c r="L400" s="7">
        <f>INDEX(products!$A$1:$G$49,MATCH(orders!$D400,products!$A$1:$A$49,0),MATCH(L$1,products!$A$1:$G$1,0))</f>
        <v>2.9849999999999999</v>
      </c>
      <c r="M400" s="7">
        <f t="shared" si="6"/>
        <v>17.91</v>
      </c>
      <c r="N400" t="str" cm="1">
        <f t="array" ref="N400">_xlfn.IFS(I400="Rob","Robusta",I400="Exc","Excelsa",I400="Ara","Arabica",I400="Lib","Liberica")</f>
        <v>Arabica</v>
      </c>
      <c r="O400" t="str" cm="1">
        <f t="array" ref="O400">_xlfn.IFS(J400="M","Medium",J400="L","Light",J400="D","Dark")</f>
        <v>Dark</v>
      </c>
      <c r="P400" t="str">
        <f>_xlfn.XLOOKUP(Orders[[#This Row],[Customer ID]],customers!$A$1:$A$1001,customers!$I$1:$I$1001,,0)</f>
        <v>Yes</v>
      </c>
    </row>
    <row r="401" spans="1:16" x14ac:dyDescent="0.35">
      <c r="A401" s="2" t="s">
        <v>2739</v>
      </c>
      <c r="B401" s="5">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6">
        <f>INDEX(products!$A$1:$G$49,MATCH(orders!$D401,products!$A$1:$A$49,0),MATCH(K$1,products!$A$1:$G$1,0))</f>
        <v>2.5</v>
      </c>
      <c r="L401" s="7">
        <f>INDEX(products!$A$1:$G$49,MATCH(orders!$D401,products!$A$1:$A$49,0),MATCH(L$1,products!$A$1:$G$1,0))</f>
        <v>27.945</v>
      </c>
      <c r="M401" s="7">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ID]],customers!$A$1:$A$1001,customers!$I$1:$I$1001,,0)</f>
        <v>No</v>
      </c>
    </row>
    <row r="402" spans="1:16" x14ac:dyDescent="0.35">
      <c r="A402" s="2" t="s">
        <v>2745</v>
      </c>
      <c r="B402" s="5">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6">
        <f>INDEX(products!$A$1:$G$49,MATCH(orders!$D402,products!$A$1:$A$49,0),MATCH(K$1,products!$A$1:$G$1,0))</f>
        <v>1</v>
      </c>
      <c r="L402" s="7">
        <f>INDEX(products!$A$1:$G$49,MATCH(orders!$D402,products!$A$1:$A$49,0),MATCH(L$1,products!$A$1:$G$1,0))</f>
        <v>15.85</v>
      </c>
      <c r="M402" s="7">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ID]],customers!$A$1:$A$1001,customers!$I$1:$I$1001,,0)</f>
        <v>No</v>
      </c>
    </row>
    <row r="403" spans="1:16" x14ac:dyDescent="0.35">
      <c r="A403" s="2" t="s">
        <v>2751</v>
      </c>
      <c r="B403" s="5">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6">
        <f>INDEX(products!$A$1:$G$49,MATCH(orders!$D403,products!$A$1:$A$49,0),MATCH(K$1,products!$A$1:$G$1,0))</f>
        <v>0.2</v>
      </c>
      <c r="L403" s="7">
        <f>INDEX(products!$A$1:$G$49,MATCH(orders!$D403,products!$A$1:$A$49,0),MATCH(L$1,products!$A$1:$G$1,0))</f>
        <v>4.3650000000000002</v>
      </c>
      <c r="M403" s="7">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ID]],customers!$A$1:$A$1001,customers!$I$1:$I$1001,,0)</f>
        <v>Yes</v>
      </c>
    </row>
    <row r="404" spans="1:16" x14ac:dyDescent="0.35">
      <c r="A404" s="2" t="s">
        <v>2757</v>
      </c>
      <c r="B404" s="5">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6">
        <f>INDEX(products!$A$1:$G$49,MATCH(orders!$D404,products!$A$1:$A$49,0),MATCH(K$1,products!$A$1:$G$1,0))</f>
        <v>1</v>
      </c>
      <c r="L404" s="7">
        <f>INDEX(products!$A$1:$G$49,MATCH(orders!$D404,products!$A$1:$A$49,0),MATCH(L$1,products!$A$1:$G$1,0))</f>
        <v>8.9499999999999993</v>
      </c>
      <c r="M404" s="7">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ID]],customers!$A$1:$A$1001,customers!$I$1:$I$1001,,0)</f>
        <v>Yes</v>
      </c>
    </row>
    <row r="405" spans="1:16" x14ac:dyDescent="0.35">
      <c r="A405" s="2" t="s">
        <v>2763</v>
      </c>
      <c r="B405" s="5">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6">
        <f>INDEX(products!$A$1:$G$49,MATCH(orders!$D405,products!$A$1:$A$49,0),MATCH(K$1,products!$A$1:$G$1,0))</f>
        <v>0.2</v>
      </c>
      <c r="L405" s="7">
        <f>INDEX(products!$A$1:$G$49,MATCH(orders!$D405,products!$A$1:$A$49,0),MATCH(L$1,products!$A$1:$G$1,0))</f>
        <v>4.7549999999999999</v>
      </c>
      <c r="M405" s="7">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ID]],customers!$A$1:$A$1001,customers!$I$1:$I$1001,,0)</f>
        <v>No</v>
      </c>
    </row>
    <row r="406" spans="1:16" x14ac:dyDescent="0.35">
      <c r="A406" s="2" t="s">
        <v>2769</v>
      </c>
      <c r="B406" s="5">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6">
        <f>INDEX(products!$A$1:$G$49,MATCH(orders!$D406,products!$A$1:$A$49,0),MATCH(K$1,products!$A$1:$G$1,0))</f>
        <v>1</v>
      </c>
      <c r="L406" s="7">
        <f>INDEX(products!$A$1:$G$49,MATCH(orders!$D406,products!$A$1:$A$49,0),MATCH(L$1,products!$A$1:$G$1,0))</f>
        <v>9.9499999999999993</v>
      </c>
      <c r="M406" s="7">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ID]],customers!$A$1:$A$1001,customers!$I$1:$I$1001,,0)</f>
        <v>No</v>
      </c>
    </row>
    <row r="407" spans="1:16" x14ac:dyDescent="0.35">
      <c r="A407" s="2" t="s">
        <v>2775</v>
      </c>
      <c r="B407" s="5">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6">
        <f>INDEX(products!$A$1:$G$49,MATCH(orders!$D407,products!$A$1:$A$49,0),MATCH(K$1,products!$A$1:$G$1,0))</f>
        <v>0.5</v>
      </c>
      <c r="L407" s="7">
        <f>INDEX(products!$A$1:$G$49,MATCH(orders!$D407,products!$A$1:$A$49,0),MATCH(L$1,products!$A$1:$G$1,0))</f>
        <v>8.25</v>
      </c>
      <c r="M407" s="7">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ID]],customers!$A$1:$A$1001,customers!$I$1:$I$1001,,0)</f>
        <v>Yes</v>
      </c>
    </row>
    <row r="408" spans="1:16" x14ac:dyDescent="0.35">
      <c r="A408" s="2" t="s">
        <v>2781</v>
      </c>
      <c r="B408" s="5">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6">
        <f>INDEX(products!$A$1:$G$49,MATCH(orders!$D408,products!$A$1:$A$49,0),MATCH(K$1,products!$A$1:$G$1,0))</f>
        <v>1</v>
      </c>
      <c r="L408" s="7">
        <f>INDEX(products!$A$1:$G$49,MATCH(orders!$D408,products!$A$1:$A$49,0),MATCH(L$1,products!$A$1:$G$1,0))</f>
        <v>13.75</v>
      </c>
      <c r="M408" s="7">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ID]],customers!$A$1:$A$1001,customers!$I$1:$I$1001,,0)</f>
        <v>Yes</v>
      </c>
    </row>
    <row r="409" spans="1:16" x14ac:dyDescent="0.35">
      <c r="A409" s="2" t="s">
        <v>2787</v>
      </c>
      <c r="B409" s="5">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6">
        <f>INDEX(products!$A$1:$G$49,MATCH(orders!$D409,products!$A$1:$A$49,0),MATCH(K$1,products!$A$1:$G$1,0))</f>
        <v>0.5</v>
      </c>
      <c r="L409" s="7">
        <f>INDEX(products!$A$1:$G$49,MATCH(orders!$D409,products!$A$1:$A$49,0),MATCH(L$1,products!$A$1:$G$1,0))</f>
        <v>8.25</v>
      </c>
      <c r="M409" s="7">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ID]],customers!$A$1:$A$1001,customers!$I$1:$I$1001,,0)</f>
        <v>No</v>
      </c>
    </row>
    <row r="410" spans="1:16" x14ac:dyDescent="0.35">
      <c r="A410" s="2" t="s">
        <v>2792</v>
      </c>
      <c r="B410" s="5">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6">
        <f>INDEX(products!$A$1:$G$49,MATCH(orders!$D410,products!$A$1:$A$49,0),MATCH(K$1,products!$A$1:$G$1,0))</f>
        <v>2.5</v>
      </c>
      <c r="L410" s="7">
        <f>INDEX(products!$A$1:$G$49,MATCH(orders!$D410,products!$A$1:$A$49,0),MATCH(L$1,products!$A$1:$G$1,0))</f>
        <v>25.874999999999996</v>
      </c>
      <c r="M410" s="7">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ID]],customers!$A$1:$A$1001,customers!$I$1:$I$1001,,0)</f>
        <v>Yes</v>
      </c>
    </row>
    <row r="411" spans="1:16" x14ac:dyDescent="0.35">
      <c r="A411" s="2" t="s">
        <v>2798</v>
      </c>
      <c r="B411" s="5">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6">
        <f>INDEX(products!$A$1:$G$49,MATCH(orders!$D411,products!$A$1:$A$49,0),MATCH(K$1,products!$A$1:$G$1,0))</f>
        <v>1</v>
      </c>
      <c r="L411" s="7">
        <f>INDEX(products!$A$1:$G$49,MATCH(orders!$D411,products!$A$1:$A$49,0),MATCH(L$1,products!$A$1:$G$1,0))</f>
        <v>15.85</v>
      </c>
      <c r="M411" s="7">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ID]],customers!$A$1:$A$1001,customers!$I$1:$I$1001,,0)</f>
        <v>Yes</v>
      </c>
    </row>
    <row r="412" spans="1:16" x14ac:dyDescent="0.35">
      <c r="A412" s="2" t="s">
        <v>2803</v>
      </c>
      <c r="B412" s="5">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6">
        <f>INDEX(products!$A$1:$G$49,MATCH(orders!$D412,products!$A$1:$A$49,0),MATCH(K$1,products!$A$1:$G$1,0))</f>
        <v>0.2</v>
      </c>
      <c r="L412" s="7">
        <f>INDEX(products!$A$1:$G$49,MATCH(orders!$D412,products!$A$1:$A$49,0),MATCH(L$1,products!$A$1:$G$1,0))</f>
        <v>3.8849999999999998</v>
      </c>
      <c r="M412" s="7">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ID]],customers!$A$1:$A$1001,customers!$I$1:$I$1001,,0)</f>
        <v>No</v>
      </c>
    </row>
    <row r="413" spans="1:16" x14ac:dyDescent="0.35">
      <c r="A413" s="2" t="s">
        <v>2808</v>
      </c>
      <c r="B413" s="5">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6">
        <f>INDEX(products!$A$1:$G$49,MATCH(orders!$D413,products!$A$1:$A$49,0),MATCH(K$1,products!$A$1:$G$1,0))</f>
        <v>1</v>
      </c>
      <c r="L413" s="7">
        <f>INDEX(products!$A$1:$G$49,MATCH(orders!$D413,products!$A$1:$A$49,0),MATCH(L$1,products!$A$1:$G$1,0))</f>
        <v>14.55</v>
      </c>
      <c r="M413" s="7">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ID]],customers!$A$1:$A$1001,customers!$I$1:$I$1001,,0)</f>
        <v>Yes</v>
      </c>
    </row>
    <row r="414" spans="1:16" x14ac:dyDescent="0.35">
      <c r="A414" s="2" t="s">
        <v>2813</v>
      </c>
      <c r="B414" s="5">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6">
        <f>INDEX(products!$A$1:$G$49,MATCH(orders!$D414,products!$A$1:$A$49,0),MATCH(K$1,products!$A$1:$G$1,0))</f>
        <v>1</v>
      </c>
      <c r="L414" s="7">
        <f>INDEX(products!$A$1:$G$49,MATCH(orders!$D414,products!$A$1:$A$49,0),MATCH(L$1,products!$A$1:$G$1,0))</f>
        <v>11.25</v>
      </c>
      <c r="M414" s="7">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ID]],customers!$A$1:$A$1001,customers!$I$1:$I$1001,,0)</f>
        <v>Yes</v>
      </c>
    </row>
    <row r="415" spans="1:16" x14ac:dyDescent="0.35">
      <c r="A415" s="2" t="s">
        <v>2818</v>
      </c>
      <c r="B415" s="5">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6">
        <f>INDEX(products!$A$1:$G$49,MATCH(orders!$D415,products!$A$1:$A$49,0),MATCH(K$1,products!$A$1:$G$1,0))</f>
        <v>2.5</v>
      </c>
      <c r="L415" s="7">
        <f>INDEX(products!$A$1:$G$49,MATCH(orders!$D415,products!$A$1:$A$49,0),MATCH(L$1,products!$A$1:$G$1,0))</f>
        <v>36.454999999999998</v>
      </c>
      <c r="M415" s="7">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ID]],customers!$A$1:$A$1001,customers!$I$1:$I$1001,,0)</f>
        <v>Yes</v>
      </c>
    </row>
    <row r="416" spans="1:16" x14ac:dyDescent="0.35">
      <c r="A416" s="2" t="s">
        <v>2824</v>
      </c>
      <c r="B416" s="5">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6">
        <f>INDEX(products!$A$1:$G$49,MATCH(orders!$D416,products!$A$1:$A$49,0),MATCH(K$1,products!$A$1:$G$1,0))</f>
        <v>0.2</v>
      </c>
      <c r="L416" s="7">
        <f>INDEX(products!$A$1:$G$49,MATCH(orders!$D416,products!$A$1:$A$49,0),MATCH(L$1,products!$A$1:$G$1,0))</f>
        <v>3.5849999999999995</v>
      </c>
      <c r="M416" s="7">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ID]],customers!$A$1:$A$1001,customers!$I$1:$I$1001,,0)</f>
        <v>Yes</v>
      </c>
    </row>
    <row r="417" spans="1:16" x14ac:dyDescent="0.35">
      <c r="A417" s="2" t="s">
        <v>2829</v>
      </c>
      <c r="B417" s="5">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6">
        <f>INDEX(products!$A$1:$G$49,MATCH(orders!$D417,products!$A$1:$A$49,0),MATCH(K$1,products!$A$1:$G$1,0))</f>
        <v>0.2</v>
      </c>
      <c r="L417" s="7">
        <f>INDEX(products!$A$1:$G$49,MATCH(orders!$D417,products!$A$1:$A$49,0),MATCH(L$1,products!$A$1:$G$1,0))</f>
        <v>2.9849999999999999</v>
      </c>
      <c r="M417" s="7">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ID]],customers!$A$1:$A$1001,customers!$I$1:$I$1001,,0)</f>
        <v>No</v>
      </c>
    </row>
    <row r="418" spans="1:16" x14ac:dyDescent="0.35">
      <c r="A418" s="2" t="s">
        <v>2834</v>
      </c>
      <c r="B418" s="5">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6">
        <f>INDEX(products!$A$1:$G$49,MATCH(orders!$D418,products!$A$1:$A$49,0),MATCH(K$1,products!$A$1:$G$1,0))</f>
        <v>0.5</v>
      </c>
      <c r="L418" s="7">
        <f>INDEX(products!$A$1:$G$49,MATCH(orders!$D418,products!$A$1:$A$49,0),MATCH(L$1,products!$A$1:$G$1,0))</f>
        <v>7.77</v>
      </c>
      <c r="M418" s="7">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ID]],customers!$A$1:$A$1001,customers!$I$1:$I$1001,,0)</f>
        <v>Yes</v>
      </c>
    </row>
    <row r="419" spans="1:16" x14ac:dyDescent="0.35">
      <c r="A419" s="2" t="s">
        <v>2839</v>
      </c>
      <c r="B419" s="5">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6">
        <f>INDEX(products!$A$1:$G$49,MATCH(orders!$D419,products!$A$1:$A$49,0),MATCH(K$1,products!$A$1:$G$1,0))</f>
        <v>2.5</v>
      </c>
      <c r="L419" s="7">
        <f>INDEX(products!$A$1:$G$49,MATCH(orders!$D419,products!$A$1:$A$49,0),MATCH(L$1,products!$A$1:$G$1,0))</f>
        <v>29.784999999999997</v>
      </c>
      <c r="M419" s="7">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ID]],customers!$A$1:$A$1001,customers!$I$1:$I$1001,,0)</f>
        <v>Yes</v>
      </c>
    </row>
    <row r="420" spans="1:16" x14ac:dyDescent="0.35">
      <c r="A420" s="2" t="s">
        <v>2844</v>
      </c>
      <c r="B420" s="5">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6">
        <f>INDEX(products!$A$1:$G$49,MATCH(orders!$D420,products!$A$1:$A$49,0),MATCH(K$1,products!$A$1:$G$1,0))</f>
        <v>2.5</v>
      </c>
      <c r="L420" s="7">
        <f>INDEX(products!$A$1:$G$49,MATCH(orders!$D420,products!$A$1:$A$49,0),MATCH(L$1,products!$A$1:$G$1,0))</f>
        <v>29.784999999999997</v>
      </c>
      <c r="M420" s="7">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ID]],customers!$A$1:$A$1001,customers!$I$1:$I$1001,,0)</f>
        <v>Yes</v>
      </c>
    </row>
    <row r="421" spans="1:16" x14ac:dyDescent="0.35">
      <c r="A421" s="2" t="s">
        <v>2849</v>
      </c>
      <c r="B421" s="5">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6">
        <f>INDEX(products!$A$1:$G$49,MATCH(orders!$D421,products!$A$1:$A$49,0),MATCH(K$1,products!$A$1:$G$1,0))</f>
        <v>0.5</v>
      </c>
      <c r="L421" s="7">
        <f>INDEX(products!$A$1:$G$49,MATCH(orders!$D421,products!$A$1:$A$49,0),MATCH(L$1,products!$A$1:$G$1,0))</f>
        <v>8.73</v>
      </c>
      <c r="M421" s="7">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ID]],customers!$A$1:$A$1001,customers!$I$1:$I$1001,,0)</f>
        <v>Yes</v>
      </c>
    </row>
    <row r="422" spans="1:16" x14ac:dyDescent="0.35">
      <c r="A422" s="2" t="s">
        <v>2855</v>
      </c>
      <c r="B422" s="5">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6">
        <f>INDEX(products!$A$1:$G$49,MATCH(orders!$D422,products!$A$1:$A$49,0),MATCH(K$1,products!$A$1:$G$1,0))</f>
        <v>0.5</v>
      </c>
      <c r="L422" s="7">
        <f>INDEX(products!$A$1:$G$49,MATCH(orders!$D422,products!$A$1:$A$49,0),MATCH(L$1,products!$A$1:$G$1,0))</f>
        <v>7.77</v>
      </c>
      <c r="M422" s="7">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ID]],customers!$A$1:$A$1001,customers!$I$1:$I$1001,,0)</f>
        <v>No</v>
      </c>
    </row>
    <row r="423" spans="1:16" x14ac:dyDescent="0.35">
      <c r="A423" s="2" t="s">
        <v>2855</v>
      </c>
      <c r="B423" s="5">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6">
        <f>INDEX(products!$A$1:$G$49,MATCH(orders!$D423,products!$A$1:$A$49,0),MATCH(K$1,products!$A$1:$G$1,0))</f>
        <v>2.5</v>
      </c>
      <c r="L423" s="7">
        <f>INDEX(products!$A$1:$G$49,MATCH(orders!$D423,products!$A$1:$A$49,0),MATCH(L$1,products!$A$1:$G$1,0))</f>
        <v>22.884999999999998</v>
      </c>
      <c r="M423" s="7">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ID]],customers!$A$1:$A$1001,customers!$I$1:$I$1001,,0)</f>
        <v>No</v>
      </c>
    </row>
    <row r="424" spans="1:16" x14ac:dyDescent="0.35">
      <c r="A424" s="2" t="s">
        <v>2866</v>
      </c>
      <c r="B424" s="5">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6">
        <f>INDEX(products!$A$1:$G$49,MATCH(orders!$D424,products!$A$1:$A$49,0),MATCH(K$1,products!$A$1:$G$1,0))</f>
        <v>0.5</v>
      </c>
      <c r="L424" s="7">
        <f>INDEX(products!$A$1:$G$49,MATCH(orders!$D424,products!$A$1:$A$49,0),MATCH(L$1,products!$A$1:$G$1,0))</f>
        <v>5.97</v>
      </c>
      <c r="M424" s="7">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ID]],customers!$A$1:$A$1001,customers!$I$1:$I$1001,,0)</f>
        <v>No</v>
      </c>
    </row>
    <row r="425" spans="1:16" x14ac:dyDescent="0.35">
      <c r="A425" s="2" t="s">
        <v>2871</v>
      </c>
      <c r="B425" s="5">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6">
        <f>INDEX(products!$A$1:$G$49,MATCH(orders!$D425,products!$A$1:$A$49,0),MATCH(K$1,products!$A$1:$G$1,0))</f>
        <v>0.5</v>
      </c>
      <c r="L425" s="7">
        <f>INDEX(products!$A$1:$G$49,MATCH(orders!$D425,products!$A$1:$A$49,0),MATCH(L$1,products!$A$1:$G$1,0))</f>
        <v>5.97</v>
      </c>
      <c r="M425" s="7">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ID]],customers!$A$1:$A$1001,customers!$I$1:$I$1001,,0)</f>
        <v>No</v>
      </c>
    </row>
    <row r="426" spans="1:16" x14ac:dyDescent="0.35">
      <c r="A426" s="2" t="s">
        <v>2876</v>
      </c>
      <c r="B426" s="5">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6">
        <f>INDEX(products!$A$1:$G$49,MATCH(orders!$D426,products!$A$1:$A$49,0),MATCH(K$1,products!$A$1:$G$1,0))</f>
        <v>0.5</v>
      </c>
      <c r="L426" s="7">
        <f>INDEX(products!$A$1:$G$49,MATCH(orders!$D426,products!$A$1:$A$49,0),MATCH(L$1,products!$A$1:$G$1,0))</f>
        <v>8.91</v>
      </c>
      <c r="M426" s="7">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ID]],customers!$A$1:$A$1001,customers!$I$1:$I$1001,,0)</f>
        <v>Yes</v>
      </c>
    </row>
    <row r="427" spans="1:16" x14ac:dyDescent="0.35">
      <c r="A427" s="2" t="s">
        <v>2882</v>
      </c>
      <c r="B427" s="5">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6">
        <f>INDEX(products!$A$1:$G$49,MATCH(orders!$D427,products!$A$1:$A$49,0),MATCH(K$1,products!$A$1:$G$1,0))</f>
        <v>1</v>
      </c>
      <c r="L427" s="7">
        <f>INDEX(products!$A$1:$G$49,MATCH(orders!$D427,products!$A$1:$A$49,0),MATCH(L$1,products!$A$1:$G$1,0))</f>
        <v>8.9499999999999993</v>
      </c>
      <c r="M427" s="7">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ID]],customers!$A$1:$A$1001,customers!$I$1:$I$1001,,0)</f>
        <v>No</v>
      </c>
    </row>
    <row r="428" spans="1:16" x14ac:dyDescent="0.35">
      <c r="A428" s="2" t="s">
        <v>2888</v>
      </c>
      <c r="B428" s="5">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6">
        <f>INDEX(products!$A$1:$G$49,MATCH(orders!$D428,products!$A$1:$A$49,0),MATCH(K$1,products!$A$1:$G$1,0))</f>
        <v>0.2</v>
      </c>
      <c r="L428" s="7">
        <f>INDEX(products!$A$1:$G$49,MATCH(orders!$D428,products!$A$1:$A$49,0),MATCH(L$1,products!$A$1:$G$1,0))</f>
        <v>3.5849999999999995</v>
      </c>
      <c r="M428" s="7">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ID]],customers!$A$1:$A$1001,customers!$I$1:$I$1001,,0)</f>
        <v>Yes</v>
      </c>
    </row>
    <row r="429" spans="1:16" x14ac:dyDescent="0.35">
      <c r="A429" s="2" t="s">
        <v>2894</v>
      </c>
      <c r="B429" s="5">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6">
        <f>INDEX(products!$A$1:$G$49,MATCH(orders!$D429,products!$A$1:$A$49,0),MATCH(K$1,products!$A$1:$G$1,0))</f>
        <v>2.5</v>
      </c>
      <c r="L429" s="7">
        <f>INDEX(products!$A$1:$G$49,MATCH(orders!$D429,products!$A$1:$A$49,0),MATCH(L$1,products!$A$1:$G$1,0))</f>
        <v>25.874999999999996</v>
      </c>
      <c r="M429" s="7">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ID]],customers!$A$1:$A$1001,customers!$I$1:$I$1001,,0)</f>
        <v>Yes</v>
      </c>
    </row>
    <row r="430" spans="1:16" x14ac:dyDescent="0.35">
      <c r="A430" s="2" t="s">
        <v>2899</v>
      </c>
      <c r="B430" s="5">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6">
        <f>INDEX(products!$A$1:$G$49,MATCH(orders!$D430,products!$A$1:$A$49,0),MATCH(K$1,products!$A$1:$G$1,0))</f>
        <v>1</v>
      </c>
      <c r="L430" s="7">
        <f>INDEX(products!$A$1:$G$49,MATCH(orders!$D430,products!$A$1:$A$49,0),MATCH(L$1,products!$A$1:$G$1,0))</f>
        <v>11.95</v>
      </c>
      <c r="M430" s="7">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ID]],customers!$A$1:$A$1001,customers!$I$1:$I$1001,,0)</f>
        <v>No</v>
      </c>
    </row>
    <row r="431" spans="1:16" x14ac:dyDescent="0.35">
      <c r="A431" s="2" t="s">
        <v>2905</v>
      </c>
      <c r="B431" s="5">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6">
        <f>INDEX(products!$A$1:$G$49,MATCH(orders!$D431,products!$A$1:$A$49,0),MATCH(K$1,products!$A$1:$G$1,0))</f>
        <v>1</v>
      </c>
      <c r="L431" s="7">
        <f>INDEX(products!$A$1:$G$49,MATCH(orders!$D431,products!$A$1:$A$49,0),MATCH(L$1,products!$A$1:$G$1,0))</f>
        <v>12.95</v>
      </c>
      <c r="M431" s="7">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ID]],customers!$A$1:$A$1001,customers!$I$1:$I$1001,,0)</f>
        <v>No</v>
      </c>
    </row>
    <row r="432" spans="1:16" x14ac:dyDescent="0.35">
      <c r="A432" s="2" t="s">
        <v>2911</v>
      </c>
      <c r="B432" s="5">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6">
        <f>INDEX(products!$A$1:$G$49,MATCH(orders!$D432,products!$A$1:$A$49,0),MATCH(K$1,products!$A$1:$G$1,0))</f>
        <v>0.2</v>
      </c>
      <c r="L432" s="7">
        <f>INDEX(products!$A$1:$G$49,MATCH(orders!$D432,products!$A$1:$A$49,0),MATCH(L$1,products!$A$1:$G$1,0))</f>
        <v>2.6849999999999996</v>
      </c>
      <c r="M432" s="7">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ID]],customers!$A$1:$A$1001,customers!$I$1:$I$1001,,0)</f>
        <v>Yes</v>
      </c>
    </row>
    <row r="433" spans="1:16" x14ac:dyDescent="0.35">
      <c r="A433" s="2" t="s">
        <v>2917</v>
      </c>
      <c r="B433" s="5">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6">
        <f>INDEX(products!$A$1:$G$49,MATCH(orders!$D433,products!$A$1:$A$49,0),MATCH(K$1,products!$A$1:$G$1,0))</f>
        <v>2.5</v>
      </c>
      <c r="L433" s="7">
        <f>INDEX(products!$A$1:$G$49,MATCH(orders!$D433,products!$A$1:$A$49,0),MATCH(L$1,products!$A$1:$G$1,0))</f>
        <v>27.945</v>
      </c>
      <c r="M433" s="7">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ID]],customers!$A$1:$A$1001,customers!$I$1:$I$1001,,0)</f>
        <v>Yes</v>
      </c>
    </row>
    <row r="434" spans="1:16" x14ac:dyDescent="0.35">
      <c r="A434" s="2" t="s">
        <v>2923</v>
      </c>
      <c r="B434" s="5">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6">
        <f>INDEX(products!$A$1:$G$49,MATCH(orders!$D434,products!$A$1:$A$49,0),MATCH(K$1,products!$A$1:$G$1,0))</f>
        <v>1</v>
      </c>
      <c r="L434" s="7">
        <f>INDEX(products!$A$1:$G$49,MATCH(orders!$D434,products!$A$1:$A$49,0),MATCH(L$1,products!$A$1:$G$1,0))</f>
        <v>11.25</v>
      </c>
      <c r="M434" s="7">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ID]],customers!$A$1:$A$1001,customers!$I$1:$I$1001,,0)</f>
        <v>No</v>
      </c>
    </row>
    <row r="435" spans="1:16" x14ac:dyDescent="0.35">
      <c r="A435" s="2" t="s">
        <v>2928</v>
      </c>
      <c r="B435" s="5">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6">
        <f>INDEX(products!$A$1:$G$49,MATCH(orders!$D435,products!$A$1:$A$49,0),MATCH(K$1,products!$A$1:$G$1,0))</f>
        <v>2.5</v>
      </c>
      <c r="L435" s="7">
        <f>INDEX(products!$A$1:$G$49,MATCH(orders!$D435,products!$A$1:$A$49,0),MATCH(L$1,products!$A$1:$G$1,0))</f>
        <v>33.464999999999996</v>
      </c>
      <c r="M435" s="7">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ID]],customers!$A$1:$A$1001,customers!$I$1:$I$1001,,0)</f>
        <v>Yes</v>
      </c>
    </row>
    <row r="436" spans="1:16" x14ac:dyDescent="0.35">
      <c r="A436" s="2" t="s">
        <v>2934</v>
      </c>
      <c r="B436" s="5">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6">
        <f>INDEX(products!$A$1:$G$49,MATCH(orders!$D436,products!$A$1:$A$49,0),MATCH(K$1,products!$A$1:$G$1,0))</f>
        <v>1</v>
      </c>
      <c r="L436" s="7">
        <f>INDEX(products!$A$1:$G$49,MATCH(orders!$D436,products!$A$1:$A$49,0),MATCH(L$1,products!$A$1:$G$1,0))</f>
        <v>11.25</v>
      </c>
      <c r="M436" s="7">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ID]],customers!$A$1:$A$1001,customers!$I$1:$I$1001,,0)</f>
        <v>No</v>
      </c>
    </row>
    <row r="437" spans="1:16" x14ac:dyDescent="0.35">
      <c r="A437" s="2" t="s">
        <v>2939</v>
      </c>
      <c r="B437" s="5">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6">
        <f>INDEX(products!$A$1:$G$49,MATCH(orders!$D437,products!$A$1:$A$49,0),MATCH(K$1,products!$A$1:$G$1,0))</f>
        <v>0.5</v>
      </c>
      <c r="L437" s="7">
        <f>INDEX(products!$A$1:$G$49,MATCH(orders!$D437,products!$A$1:$A$49,0),MATCH(L$1,products!$A$1:$G$1,0))</f>
        <v>8.25</v>
      </c>
      <c r="M437" s="7">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ID]],customers!$A$1:$A$1001,customers!$I$1:$I$1001,,0)</f>
        <v>No</v>
      </c>
    </row>
    <row r="438" spans="1:16" x14ac:dyDescent="0.35">
      <c r="A438" s="2" t="s">
        <v>2945</v>
      </c>
      <c r="B438" s="5">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6">
        <f>INDEX(products!$A$1:$G$49,MATCH(orders!$D438,products!$A$1:$A$49,0),MATCH(K$1,products!$A$1:$G$1,0))</f>
        <v>0.2</v>
      </c>
      <c r="L438" s="7">
        <f>INDEX(products!$A$1:$G$49,MATCH(orders!$D438,products!$A$1:$A$49,0),MATCH(L$1,products!$A$1:$G$1,0))</f>
        <v>4.7549999999999999</v>
      </c>
      <c r="M438" s="7">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ID]],customers!$A$1:$A$1001,customers!$I$1:$I$1001,,0)</f>
        <v>Yes</v>
      </c>
    </row>
    <row r="439" spans="1:16" x14ac:dyDescent="0.35">
      <c r="A439" s="2" t="s">
        <v>2951</v>
      </c>
      <c r="B439" s="5">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6">
        <f>INDEX(products!$A$1:$G$49,MATCH(orders!$D439,products!$A$1:$A$49,0),MATCH(K$1,products!$A$1:$G$1,0))</f>
        <v>2.5</v>
      </c>
      <c r="L439" s="7">
        <f>INDEX(products!$A$1:$G$49,MATCH(orders!$D439,products!$A$1:$A$49,0),MATCH(L$1,products!$A$1:$G$1,0))</f>
        <v>29.784999999999997</v>
      </c>
      <c r="M439" s="7">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ID]],customers!$A$1:$A$1001,customers!$I$1:$I$1001,,0)</f>
        <v>No</v>
      </c>
    </row>
    <row r="440" spans="1:16" x14ac:dyDescent="0.35">
      <c r="A440" s="2" t="s">
        <v>2956</v>
      </c>
      <c r="B440" s="5">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6">
        <f>INDEX(products!$A$1:$G$49,MATCH(orders!$D440,products!$A$1:$A$49,0),MATCH(K$1,products!$A$1:$G$1,0))</f>
        <v>0.5</v>
      </c>
      <c r="L440" s="7">
        <f>INDEX(products!$A$1:$G$49,MATCH(orders!$D440,products!$A$1:$A$49,0),MATCH(L$1,products!$A$1:$G$1,0))</f>
        <v>7.77</v>
      </c>
      <c r="M440" s="7">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ID]],customers!$A$1:$A$1001,customers!$I$1:$I$1001,,0)</f>
        <v>No</v>
      </c>
    </row>
    <row r="441" spans="1:16" x14ac:dyDescent="0.35">
      <c r="A441" s="2" t="s">
        <v>2962</v>
      </c>
      <c r="B441" s="5">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6">
        <f>INDEX(products!$A$1:$G$49,MATCH(orders!$D441,products!$A$1:$A$49,0),MATCH(K$1,products!$A$1:$G$1,0))</f>
        <v>0.5</v>
      </c>
      <c r="L441" s="7">
        <f>INDEX(products!$A$1:$G$49,MATCH(orders!$D441,products!$A$1:$A$49,0),MATCH(L$1,products!$A$1:$G$1,0))</f>
        <v>8.91</v>
      </c>
      <c r="M441" s="7">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ID]],customers!$A$1:$A$1001,customers!$I$1:$I$1001,,0)</f>
        <v>No</v>
      </c>
    </row>
    <row r="442" spans="1:16" x14ac:dyDescent="0.35">
      <c r="A442" s="2" t="s">
        <v>2968</v>
      </c>
      <c r="B442" s="5">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6">
        <f>INDEX(products!$A$1:$G$49,MATCH(orders!$D442,products!$A$1:$A$49,0),MATCH(K$1,products!$A$1:$G$1,0))</f>
        <v>2.5</v>
      </c>
      <c r="L442" s="7">
        <f>INDEX(products!$A$1:$G$49,MATCH(orders!$D442,products!$A$1:$A$49,0),MATCH(L$1,products!$A$1:$G$1,0))</f>
        <v>25.874999999999996</v>
      </c>
      <c r="M442" s="7">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ID]],customers!$A$1:$A$1001,customers!$I$1:$I$1001,,0)</f>
        <v>Yes</v>
      </c>
    </row>
    <row r="443" spans="1:16" x14ac:dyDescent="0.35">
      <c r="A443" s="2" t="s">
        <v>2974</v>
      </c>
      <c r="B443" s="5">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6">
        <f>INDEX(products!$A$1:$G$49,MATCH(orders!$D443,products!$A$1:$A$49,0),MATCH(K$1,products!$A$1:$G$1,0))</f>
        <v>1</v>
      </c>
      <c r="L443" s="7">
        <f>INDEX(products!$A$1:$G$49,MATCH(orders!$D443,products!$A$1:$A$49,0),MATCH(L$1,products!$A$1:$G$1,0))</f>
        <v>12.15</v>
      </c>
      <c r="M443" s="7">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ID]],customers!$A$1:$A$1001,customers!$I$1:$I$1001,,0)</f>
        <v>Yes</v>
      </c>
    </row>
    <row r="444" spans="1:16" x14ac:dyDescent="0.35">
      <c r="A444" s="2" t="s">
        <v>2980</v>
      </c>
      <c r="B444" s="5">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6">
        <f>INDEX(products!$A$1:$G$49,MATCH(orders!$D444,products!$A$1:$A$49,0),MATCH(K$1,products!$A$1:$G$1,0))</f>
        <v>0.5</v>
      </c>
      <c r="L444" s="7">
        <f>INDEX(products!$A$1:$G$49,MATCH(orders!$D444,products!$A$1:$A$49,0),MATCH(L$1,products!$A$1:$G$1,0))</f>
        <v>7.169999999999999</v>
      </c>
      <c r="M444" s="7">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ID]],customers!$A$1:$A$1001,customers!$I$1:$I$1001,,0)</f>
        <v>No</v>
      </c>
    </row>
    <row r="445" spans="1:16" x14ac:dyDescent="0.35">
      <c r="A445" s="2" t="s">
        <v>2986</v>
      </c>
      <c r="B445" s="5">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6">
        <f>INDEX(products!$A$1:$G$49,MATCH(orders!$D445,products!$A$1:$A$49,0),MATCH(K$1,products!$A$1:$G$1,0))</f>
        <v>0.2</v>
      </c>
      <c r="L445" s="7">
        <f>INDEX(products!$A$1:$G$49,MATCH(orders!$D445,products!$A$1:$A$49,0),MATCH(L$1,products!$A$1:$G$1,0))</f>
        <v>4.4550000000000001</v>
      </c>
      <c r="M445" s="7">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ID]],customers!$A$1:$A$1001,customers!$I$1:$I$1001,,0)</f>
        <v>Yes</v>
      </c>
    </row>
    <row r="446" spans="1:16" x14ac:dyDescent="0.35">
      <c r="A446" s="2" t="s">
        <v>2992</v>
      </c>
      <c r="B446" s="5">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6">
        <f>INDEX(products!$A$1:$G$49,MATCH(orders!$D446,products!$A$1:$A$49,0),MATCH(K$1,products!$A$1:$G$1,0))</f>
        <v>0.2</v>
      </c>
      <c r="L446" s="7">
        <f>INDEX(products!$A$1:$G$49,MATCH(orders!$D446,products!$A$1:$A$49,0),MATCH(L$1,products!$A$1:$G$1,0))</f>
        <v>4.125</v>
      </c>
      <c r="M446" s="7">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ID]],customers!$A$1:$A$1001,customers!$I$1:$I$1001,,0)</f>
        <v>No</v>
      </c>
    </row>
    <row r="447" spans="1:16" x14ac:dyDescent="0.35">
      <c r="A447" s="2" t="s">
        <v>2999</v>
      </c>
      <c r="B447" s="5">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6">
        <f>INDEX(products!$A$1:$G$49,MATCH(orders!$D447,products!$A$1:$A$49,0),MATCH(K$1,products!$A$1:$G$1,0))</f>
        <v>2.5</v>
      </c>
      <c r="L447" s="7">
        <f>INDEX(products!$A$1:$G$49,MATCH(orders!$D447,products!$A$1:$A$49,0),MATCH(L$1,products!$A$1:$G$1,0))</f>
        <v>33.464999999999996</v>
      </c>
      <c r="M447" s="7">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ID]],customers!$A$1:$A$1001,customers!$I$1:$I$1001,,0)</f>
        <v>Yes</v>
      </c>
    </row>
    <row r="448" spans="1:16" x14ac:dyDescent="0.35">
      <c r="A448" s="2" t="s">
        <v>3004</v>
      </c>
      <c r="B448" s="5">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6">
        <f>INDEX(products!$A$1:$G$49,MATCH(orders!$D448,products!$A$1:$A$49,0),MATCH(K$1,products!$A$1:$G$1,0))</f>
        <v>0.5</v>
      </c>
      <c r="L448" s="7">
        <f>INDEX(products!$A$1:$G$49,MATCH(orders!$D448,products!$A$1:$A$49,0),MATCH(L$1,products!$A$1:$G$1,0))</f>
        <v>8.73</v>
      </c>
      <c r="M448" s="7">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ID]],customers!$A$1:$A$1001,customers!$I$1:$I$1001,,0)</f>
        <v>Yes</v>
      </c>
    </row>
    <row r="449" spans="1:16" x14ac:dyDescent="0.35">
      <c r="A449" s="2" t="s">
        <v>3010</v>
      </c>
      <c r="B449" s="5">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6">
        <f>INDEX(products!$A$1:$G$49,MATCH(orders!$D449,products!$A$1:$A$49,0),MATCH(K$1,products!$A$1:$G$1,0))</f>
        <v>0.5</v>
      </c>
      <c r="L449" s="7">
        <f>INDEX(products!$A$1:$G$49,MATCH(orders!$D449,products!$A$1:$A$49,0),MATCH(L$1,products!$A$1:$G$1,0))</f>
        <v>5.97</v>
      </c>
      <c r="M449" s="7">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ID]],customers!$A$1:$A$1001,customers!$I$1:$I$1001,,0)</f>
        <v>No</v>
      </c>
    </row>
    <row r="450" spans="1:16" x14ac:dyDescent="0.35">
      <c r="A450" s="2" t="s">
        <v>3015</v>
      </c>
      <c r="B450" s="5">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6">
        <f>INDEX(products!$A$1:$G$49,MATCH(orders!$D450,products!$A$1:$A$49,0),MATCH(K$1,products!$A$1:$G$1,0))</f>
        <v>0.5</v>
      </c>
      <c r="L450" s="7">
        <f>INDEX(products!$A$1:$G$49,MATCH(orders!$D450,products!$A$1:$A$49,0),MATCH(L$1,products!$A$1:$G$1,0))</f>
        <v>7.169999999999999</v>
      </c>
      <c r="M450" s="7">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ID]],customers!$A$1:$A$1001,customers!$I$1:$I$1001,,0)</f>
        <v>No</v>
      </c>
    </row>
    <row r="451" spans="1:16" x14ac:dyDescent="0.35">
      <c r="A451" s="2" t="s">
        <v>3021</v>
      </c>
      <c r="B451" s="5">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6">
        <f>INDEX(products!$A$1:$G$49,MATCH(orders!$D451,products!$A$1:$A$49,0),MATCH(K$1,products!$A$1:$G$1,0))</f>
        <v>0.2</v>
      </c>
      <c r="L451" s="7">
        <f>INDEX(products!$A$1:$G$49,MATCH(orders!$D451,products!$A$1:$A$49,0),MATCH(L$1,products!$A$1:$G$1,0))</f>
        <v>2.6849999999999996</v>
      </c>
      <c r="M451" s="7">
        <f t="shared" ref="M451:M514" si="7">PRODUCT(L451,E451)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ID]],customers!$A$1:$A$1001,customers!$I$1:$I$1001,,0)</f>
        <v>No</v>
      </c>
    </row>
    <row r="452" spans="1:16" x14ac:dyDescent="0.35">
      <c r="A452" s="2" t="s">
        <v>3027</v>
      </c>
      <c r="B452" s="5">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6">
        <f>INDEX(products!$A$1:$G$49,MATCH(orders!$D452,products!$A$1:$A$49,0),MATCH(K$1,products!$A$1:$G$1,0))</f>
        <v>0.2</v>
      </c>
      <c r="L452" s="7">
        <f>INDEX(products!$A$1:$G$49,MATCH(orders!$D452,products!$A$1:$A$49,0),MATCH(L$1,products!$A$1:$G$1,0))</f>
        <v>4.7549999999999999</v>
      </c>
      <c r="M452" s="7">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ID]],customers!$A$1:$A$1001,customers!$I$1:$I$1001,,0)</f>
        <v>No</v>
      </c>
    </row>
    <row r="453" spans="1:16" x14ac:dyDescent="0.35">
      <c r="A453" s="2" t="s">
        <v>3035</v>
      </c>
      <c r="B453" s="5">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6">
        <f>INDEX(products!$A$1:$G$49,MATCH(orders!$D453,products!$A$1:$A$49,0),MATCH(K$1,products!$A$1:$G$1,0))</f>
        <v>2.5</v>
      </c>
      <c r="L453" s="7">
        <f>INDEX(products!$A$1:$G$49,MATCH(orders!$D453,products!$A$1:$A$49,0),MATCH(L$1,products!$A$1:$G$1,0))</f>
        <v>20.584999999999997</v>
      </c>
      <c r="M453" s="7">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ID]],customers!$A$1:$A$1001,customers!$I$1:$I$1001,,0)</f>
        <v>Yes</v>
      </c>
    </row>
    <row r="454" spans="1:16" x14ac:dyDescent="0.35">
      <c r="A454" s="2" t="s">
        <v>3041</v>
      </c>
      <c r="B454" s="5">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6">
        <f>INDEX(products!$A$1:$G$49,MATCH(orders!$D454,products!$A$1:$A$49,0),MATCH(K$1,products!$A$1:$G$1,0))</f>
        <v>0.2</v>
      </c>
      <c r="L454" s="7">
        <f>INDEX(products!$A$1:$G$49,MATCH(orders!$D454,products!$A$1:$A$49,0),MATCH(L$1,products!$A$1:$G$1,0))</f>
        <v>3.8849999999999998</v>
      </c>
      <c r="M454" s="7">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ID]],customers!$A$1:$A$1001,customers!$I$1:$I$1001,,0)</f>
        <v>No</v>
      </c>
    </row>
    <row r="455" spans="1:16" x14ac:dyDescent="0.35">
      <c r="A455" s="2" t="s">
        <v>3047</v>
      </c>
      <c r="B455" s="5">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6">
        <f>INDEX(products!$A$1:$G$49,MATCH(orders!$D455,products!$A$1:$A$49,0),MATCH(K$1,products!$A$1:$G$1,0))</f>
        <v>0.5</v>
      </c>
      <c r="L455" s="7">
        <f>INDEX(products!$A$1:$G$49,MATCH(orders!$D455,products!$A$1:$A$49,0),MATCH(L$1,products!$A$1:$G$1,0))</f>
        <v>9.51</v>
      </c>
      <c r="M455" s="7">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ID]],customers!$A$1:$A$1001,customers!$I$1:$I$1001,,0)</f>
        <v>No</v>
      </c>
    </row>
    <row r="456" spans="1:16" x14ac:dyDescent="0.35">
      <c r="A456" s="2" t="s">
        <v>3053</v>
      </c>
      <c r="B456" s="5">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6">
        <f>INDEX(products!$A$1:$G$49,MATCH(orders!$D456,products!$A$1:$A$49,0),MATCH(K$1,products!$A$1:$G$1,0))</f>
        <v>2.5</v>
      </c>
      <c r="L456" s="7">
        <f>INDEX(products!$A$1:$G$49,MATCH(orders!$D456,products!$A$1:$A$49,0),MATCH(L$1,products!$A$1:$G$1,0))</f>
        <v>20.584999999999997</v>
      </c>
      <c r="M456" s="7">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ID]],customers!$A$1:$A$1001,customers!$I$1:$I$1001,,0)</f>
        <v>Yes</v>
      </c>
    </row>
    <row r="457" spans="1:16" x14ac:dyDescent="0.35">
      <c r="A457" s="2" t="s">
        <v>3058</v>
      </c>
      <c r="B457" s="5">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6">
        <f>INDEX(products!$A$1:$G$49,MATCH(orders!$D457,products!$A$1:$A$49,0),MATCH(K$1,products!$A$1:$G$1,0))</f>
        <v>0.2</v>
      </c>
      <c r="L457" s="7">
        <f>INDEX(products!$A$1:$G$49,MATCH(orders!$D457,products!$A$1:$A$49,0),MATCH(L$1,products!$A$1:$G$1,0))</f>
        <v>4.7549999999999999</v>
      </c>
      <c r="M457" s="7">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ID]],customers!$A$1:$A$1001,customers!$I$1:$I$1001,,0)</f>
        <v>Yes</v>
      </c>
    </row>
    <row r="458" spans="1:16" x14ac:dyDescent="0.35">
      <c r="A458" s="2" t="s">
        <v>3064</v>
      </c>
      <c r="B458" s="5">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6">
        <f>INDEX(products!$A$1:$G$49,MATCH(orders!$D458,products!$A$1:$A$49,0),MATCH(K$1,products!$A$1:$G$1,0))</f>
        <v>2.5</v>
      </c>
      <c r="L458" s="7">
        <f>INDEX(products!$A$1:$G$49,MATCH(orders!$D458,products!$A$1:$A$49,0),MATCH(L$1,products!$A$1:$G$1,0))</f>
        <v>20.584999999999997</v>
      </c>
      <c r="M458" s="7">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ID]],customers!$A$1:$A$1001,customers!$I$1:$I$1001,,0)</f>
        <v>No</v>
      </c>
    </row>
    <row r="459" spans="1:16" x14ac:dyDescent="0.35">
      <c r="A459" s="2" t="s">
        <v>3070</v>
      </c>
      <c r="B459" s="5">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6">
        <f>INDEX(products!$A$1:$G$49,MATCH(orders!$D459,products!$A$1:$A$49,0),MATCH(K$1,products!$A$1:$G$1,0))</f>
        <v>0.5</v>
      </c>
      <c r="L459" s="7">
        <f>INDEX(products!$A$1:$G$49,MATCH(orders!$D459,products!$A$1:$A$49,0),MATCH(L$1,products!$A$1:$G$1,0))</f>
        <v>9.51</v>
      </c>
      <c r="M459" s="7">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ID]],customers!$A$1:$A$1001,customers!$I$1:$I$1001,,0)</f>
        <v>No</v>
      </c>
    </row>
    <row r="460" spans="1:16" x14ac:dyDescent="0.35">
      <c r="A460" s="2" t="s">
        <v>3076</v>
      </c>
      <c r="B460" s="5">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6">
        <f>INDEX(products!$A$1:$G$49,MATCH(orders!$D460,products!$A$1:$A$49,0),MATCH(K$1,products!$A$1:$G$1,0))</f>
        <v>1</v>
      </c>
      <c r="L460" s="7">
        <f>INDEX(products!$A$1:$G$49,MATCH(orders!$D460,products!$A$1:$A$49,0),MATCH(L$1,products!$A$1:$G$1,0))</f>
        <v>11.25</v>
      </c>
      <c r="M460" s="7">
        <f t="shared" si="7"/>
        <v>45</v>
      </c>
      <c r="N460" t="str" cm="1">
        <f t="array" ref="N460">_xlfn.IFS(I460="Rob","Robusta",I460="Exc","Excelsa",I460="Ara","Arabica",I460="Lib","Liberica")</f>
        <v>Arabica</v>
      </c>
      <c r="O460" t="str" cm="1">
        <f t="array" ref="O460">_xlfn.IFS(J460="M","Medium",J460="L","Light",J460="D","Dark")</f>
        <v>Medium</v>
      </c>
      <c r="P460" t="str">
        <f>_xlfn.XLOOKUP(Orders[[#This Row],[Customer ID]],customers!$A$1:$A$1001,customers!$I$1:$I$1001,,0)</f>
        <v>No</v>
      </c>
    </row>
    <row r="461" spans="1:16" x14ac:dyDescent="0.35">
      <c r="A461" s="2" t="s">
        <v>3082</v>
      </c>
      <c r="B461" s="5">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6">
        <f>INDEX(products!$A$1:$G$49,MATCH(orders!$D461,products!$A$1:$A$49,0),MATCH(K$1,products!$A$1:$G$1,0))</f>
        <v>0.2</v>
      </c>
      <c r="L461" s="7">
        <f>INDEX(products!$A$1:$G$49,MATCH(orders!$D461,products!$A$1:$A$49,0),MATCH(L$1,products!$A$1:$G$1,0))</f>
        <v>4.7549999999999999</v>
      </c>
      <c r="M461" s="7">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ID]],customers!$A$1:$A$1001,customers!$I$1:$I$1001,,0)</f>
        <v>No</v>
      </c>
    </row>
    <row r="462" spans="1:16" x14ac:dyDescent="0.35">
      <c r="A462" s="2" t="s">
        <v>3088</v>
      </c>
      <c r="B462" s="5">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6">
        <f>INDEX(products!$A$1:$G$49,MATCH(orders!$D462,products!$A$1:$A$49,0),MATCH(K$1,products!$A$1:$G$1,0))</f>
        <v>0.5</v>
      </c>
      <c r="L462" s="7">
        <f>INDEX(products!$A$1:$G$49,MATCH(orders!$D462,products!$A$1:$A$49,0),MATCH(L$1,products!$A$1:$G$1,0))</f>
        <v>5.3699999999999992</v>
      </c>
      <c r="M462" s="7">
        <f t="shared" si="7"/>
        <v>16.11</v>
      </c>
      <c r="N462" t="str" cm="1">
        <f t="array" ref="N462">_xlfn.IFS(I462="Rob","Robusta",I462="Exc","Excelsa",I462="Ara","Arabica",I462="Lib","Liberica")</f>
        <v>Robusta</v>
      </c>
      <c r="O462" t="str" cm="1">
        <f t="array" ref="O462">_xlfn.IFS(J462="M","Medium",J462="L","Light",J462="D","Dark")</f>
        <v>Dark</v>
      </c>
      <c r="P462" t="str">
        <f>_xlfn.XLOOKUP(Orders[[#This Row],[Customer ID]],customers!$A$1:$A$1001,customers!$I$1:$I$1001,,0)</f>
        <v>Yes</v>
      </c>
    </row>
    <row r="463" spans="1:16" x14ac:dyDescent="0.35">
      <c r="A463" s="2" t="s">
        <v>3094</v>
      </c>
      <c r="B463" s="5">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6">
        <f>INDEX(products!$A$1:$G$49,MATCH(orders!$D463,products!$A$1:$A$49,0),MATCH(K$1,products!$A$1:$G$1,0))</f>
        <v>0.2</v>
      </c>
      <c r="L463" s="7">
        <f>INDEX(products!$A$1:$G$49,MATCH(orders!$D463,products!$A$1:$A$49,0),MATCH(L$1,products!$A$1:$G$1,0))</f>
        <v>2.6849999999999996</v>
      </c>
      <c r="M463" s="7">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ID]],customers!$A$1:$A$1001,customers!$I$1:$I$1001,,0)</f>
        <v>Yes</v>
      </c>
    </row>
    <row r="464" spans="1:16" x14ac:dyDescent="0.35">
      <c r="A464" s="2" t="s">
        <v>3100</v>
      </c>
      <c r="B464" s="5">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6">
        <f>INDEX(products!$A$1:$G$49,MATCH(orders!$D464,products!$A$1:$A$49,0),MATCH(K$1,products!$A$1:$G$1,0))</f>
        <v>1</v>
      </c>
      <c r="L464" s="7">
        <f>INDEX(products!$A$1:$G$49,MATCH(orders!$D464,products!$A$1:$A$49,0),MATCH(L$1,products!$A$1:$G$1,0))</f>
        <v>9.9499999999999993</v>
      </c>
      <c r="M464" s="7">
        <f t="shared" si="7"/>
        <v>49.75</v>
      </c>
      <c r="N464" t="str" cm="1">
        <f t="array" ref="N464">_xlfn.IFS(I464="Rob","Robusta",I464="Exc","Excelsa",I464="Ara","Arabica",I464="Lib","Liberica")</f>
        <v>Arabica</v>
      </c>
      <c r="O464" t="str" cm="1">
        <f t="array" ref="O464">_xlfn.IFS(J464="M","Medium",J464="L","Light",J464="D","Dark")</f>
        <v>Dark</v>
      </c>
      <c r="P464" t="str">
        <f>_xlfn.XLOOKUP(Orders[[#This Row],[Customer ID]],customers!$A$1:$A$1001,customers!$I$1:$I$1001,,0)</f>
        <v>Yes</v>
      </c>
    </row>
    <row r="465" spans="1:16" x14ac:dyDescent="0.35">
      <c r="A465" s="2" t="s">
        <v>3106</v>
      </c>
      <c r="B465" s="5">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6">
        <f>INDEX(products!$A$1:$G$49,MATCH(orders!$D465,products!$A$1:$A$49,0),MATCH(K$1,products!$A$1:$G$1,0))</f>
        <v>1</v>
      </c>
      <c r="L465" s="7">
        <f>INDEX(products!$A$1:$G$49,MATCH(orders!$D465,products!$A$1:$A$49,0),MATCH(L$1,products!$A$1:$G$1,0))</f>
        <v>13.75</v>
      </c>
      <c r="M465" s="7">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ID]],customers!$A$1:$A$1001,customers!$I$1:$I$1001,,0)</f>
        <v>No</v>
      </c>
    </row>
    <row r="466" spans="1:16" x14ac:dyDescent="0.35">
      <c r="A466" s="2" t="s">
        <v>3112</v>
      </c>
      <c r="B466" s="5">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6">
        <f>INDEX(products!$A$1:$G$49,MATCH(orders!$D466,products!$A$1:$A$49,0),MATCH(K$1,products!$A$1:$G$1,0))</f>
        <v>2.5</v>
      </c>
      <c r="L466" s="7">
        <f>INDEX(products!$A$1:$G$49,MATCH(orders!$D466,products!$A$1:$A$49,0),MATCH(L$1,products!$A$1:$G$1,0))</f>
        <v>29.784999999999997</v>
      </c>
      <c r="M466" s="7">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ID]],customers!$A$1:$A$1001,customers!$I$1:$I$1001,,0)</f>
        <v>No</v>
      </c>
    </row>
    <row r="467" spans="1:16" x14ac:dyDescent="0.35">
      <c r="A467" s="2" t="s">
        <v>3118</v>
      </c>
      <c r="B467" s="5">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6">
        <f>INDEX(products!$A$1:$G$49,MATCH(orders!$D467,products!$A$1:$A$49,0),MATCH(K$1,products!$A$1:$G$1,0))</f>
        <v>2.5</v>
      </c>
      <c r="L467" s="7">
        <f>INDEX(products!$A$1:$G$49,MATCH(orders!$D467,products!$A$1:$A$49,0),MATCH(L$1,products!$A$1:$G$1,0))</f>
        <v>20.584999999999997</v>
      </c>
      <c r="M467" s="7">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ID]],customers!$A$1:$A$1001,customers!$I$1:$I$1001,,0)</f>
        <v>Yes</v>
      </c>
    </row>
    <row r="468" spans="1:16" x14ac:dyDescent="0.35">
      <c r="A468" s="2" t="s">
        <v>3124</v>
      </c>
      <c r="B468" s="5">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6">
        <f>INDEX(products!$A$1:$G$49,MATCH(orders!$D468,products!$A$1:$A$49,0),MATCH(K$1,products!$A$1:$G$1,0))</f>
        <v>0.2</v>
      </c>
      <c r="L468" s="7">
        <f>INDEX(products!$A$1:$G$49,MATCH(orders!$D468,products!$A$1:$A$49,0),MATCH(L$1,products!$A$1:$G$1,0))</f>
        <v>2.9849999999999999</v>
      </c>
      <c r="M468" s="7">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ID]],customers!$A$1:$A$1001,customers!$I$1:$I$1001,,0)</f>
        <v>Yes</v>
      </c>
    </row>
    <row r="469" spans="1:16" x14ac:dyDescent="0.35">
      <c r="A469" s="2" t="s">
        <v>3130</v>
      </c>
      <c r="B469" s="5">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6">
        <f>INDEX(products!$A$1:$G$49,MATCH(orders!$D469,products!$A$1:$A$49,0),MATCH(K$1,products!$A$1:$G$1,0))</f>
        <v>0.5</v>
      </c>
      <c r="L469" s="7">
        <f>INDEX(products!$A$1:$G$49,MATCH(orders!$D469,products!$A$1:$A$49,0),MATCH(L$1,products!$A$1:$G$1,0))</f>
        <v>5.97</v>
      </c>
      <c r="M469" s="7">
        <f t="shared" si="7"/>
        <v>5.97</v>
      </c>
      <c r="N469" t="str" cm="1">
        <f t="array" ref="N469">_xlfn.IFS(I469="Rob","Robusta",I469="Exc","Excelsa",I469="Ara","Arabica",I469="Lib","Liberica")</f>
        <v>Arabica</v>
      </c>
      <c r="O469" t="str" cm="1">
        <f t="array" ref="O469">_xlfn.IFS(J469="M","Medium",J469="L","Light",J469="D","Dark")</f>
        <v>Dark</v>
      </c>
      <c r="P469" t="str">
        <f>_xlfn.XLOOKUP(Orders[[#This Row],[Customer ID]],customers!$A$1:$A$1001,customers!$I$1:$I$1001,,0)</f>
        <v>No</v>
      </c>
    </row>
    <row r="470" spans="1:16" x14ac:dyDescent="0.35">
      <c r="A470" s="2" t="s">
        <v>3136</v>
      </c>
      <c r="B470" s="5">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6">
        <f>INDEX(products!$A$1:$G$49,MATCH(orders!$D470,products!$A$1:$A$49,0),MATCH(K$1,products!$A$1:$G$1,0))</f>
        <v>1</v>
      </c>
      <c r="L470" s="7">
        <f>INDEX(products!$A$1:$G$49,MATCH(orders!$D470,products!$A$1:$A$49,0),MATCH(L$1,products!$A$1:$G$1,0))</f>
        <v>13.75</v>
      </c>
      <c r="M470" s="7">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ID]],customers!$A$1:$A$1001,customers!$I$1:$I$1001,,0)</f>
        <v>Yes</v>
      </c>
    </row>
    <row r="471" spans="1:16" x14ac:dyDescent="0.35">
      <c r="A471" s="2" t="s">
        <v>3141</v>
      </c>
      <c r="B471" s="5">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6">
        <f>INDEX(products!$A$1:$G$49,MATCH(orders!$D471,products!$A$1:$A$49,0),MATCH(K$1,products!$A$1:$G$1,0))</f>
        <v>0.2</v>
      </c>
      <c r="L471" s="7">
        <f>INDEX(products!$A$1:$G$49,MATCH(orders!$D471,products!$A$1:$A$49,0),MATCH(L$1,products!$A$1:$G$1,0))</f>
        <v>4.4550000000000001</v>
      </c>
      <c r="M471" s="7">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ID]],customers!$A$1:$A$1001,customers!$I$1:$I$1001,,0)</f>
        <v>Yes</v>
      </c>
    </row>
    <row r="472" spans="1:16" x14ac:dyDescent="0.35">
      <c r="A472" s="2" t="s">
        <v>3147</v>
      </c>
      <c r="B472" s="5">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6">
        <f>INDEX(products!$A$1:$G$49,MATCH(orders!$D472,products!$A$1:$A$49,0),MATCH(K$1,products!$A$1:$G$1,0))</f>
        <v>0.5</v>
      </c>
      <c r="L472" s="7">
        <f>INDEX(products!$A$1:$G$49,MATCH(orders!$D472,products!$A$1:$A$49,0),MATCH(L$1,products!$A$1:$G$1,0))</f>
        <v>6.75</v>
      </c>
      <c r="M472" s="7">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ID]],customers!$A$1:$A$1001,customers!$I$1:$I$1001,,0)</f>
        <v>Yes</v>
      </c>
    </row>
    <row r="473" spans="1:16" x14ac:dyDescent="0.35">
      <c r="A473" s="2" t="s">
        <v>3153</v>
      </c>
      <c r="B473" s="5">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6">
        <f>INDEX(products!$A$1:$G$49,MATCH(orders!$D473,products!$A$1:$A$49,0),MATCH(K$1,products!$A$1:$G$1,0))</f>
        <v>2.5</v>
      </c>
      <c r="L473" s="7">
        <f>INDEX(products!$A$1:$G$49,MATCH(orders!$D473,products!$A$1:$A$49,0),MATCH(L$1,products!$A$1:$G$1,0))</f>
        <v>33.464999999999996</v>
      </c>
      <c r="M473" s="7">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ID]],customers!$A$1:$A$1001,customers!$I$1:$I$1001,,0)</f>
        <v>Yes</v>
      </c>
    </row>
    <row r="474" spans="1:16" x14ac:dyDescent="0.35">
      <c r="A474" s="2" t="s">
        <v>3158</v>
      </c>
      <c r="B474" s="5">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6">
        <f>INDEX(products!$A$1:$G$49,MATCH(orders!$D474,products!$A$1:$A$49,0),MATCH(K$1,products!$A$1:$G$1,0))</f>
        <v>0.2</v>
      </c>
      <c r="L474" s="7">
        <f>INDEX(products!$A$1:$G$49,MATCH(orders!$D474,products!$A$1:$A$49,0),MATCH(L$1,products!$A$1:$G$1,0))</f>
        <v>2.9849999999999999</v>
      </c>
      <c r="M474" s="7">
        <f t="shared" si="7"/>
        <v>5.97</v>
      </c>
      <c r="N474" t="str" cm="1">
        <f t="array" ref="N474">_xlfn.IFS(I474="Rob","Robusta",I474="Exc","Excelsa",I474="Ara","Arabica",I474="Lib","Liberica")</f>
        <v>Arabica</v>
      </c>
      <c r="O474" t="str" cm="1">
        <f t="array" ref="O474">_xlfn.IFS(J474="M","Medium",J474="L","Light",J474="D","Dark")</f>
        <v>Dark</v>
      </c>
      <c r="P474" t="str">
        <f>_xlfn.XLOOKUP(Orders[[#This Row],[Customer ID]],customers!$A$1:$A$1001,customers!$I$1:$I$1001,,0)</f>
        <v>No</v>
      </c>
    </row>
    <row r="475" spans="1:16" x14ac:dyDescent="0.35">
      <c r="A475" s="2" t="s">
        <v>3164</v>
      </c>
      <c r="B475" s="5">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6">
        <f>INDEX(products!$A$1:$G$49,MATCH(orders!$D475,products!$A$1:$A$49,0),MATCH(K$1,products!$A$1:$G$1,0))</f>
        <v>1</v>
      </c>
      <c r="L475" s="7">
        <f>INDEX(products!$A$1:$G$49,MATCH(orders!$D475,products!$A$1:$A$49,0),MATCH(L$1,products!$A$1:$G$1,0))</f>
        <v>12.95</v>
      </c>
      <c r="M475" s="7">
        <f t="shared" si="7"/>
        <v>25.9</v>
      </c>
      <c r="N475" t="str" cm="1">
        <f t="array" ref="N475">_xlfn.IFS(I475="Rob","Robusta",I475="Exc","Excelsa",I475="Ara","Arabica",I475="Lib","Liberica")</f>
        <v>Arabica</v>
      </c>
      <c r="O475" t="str" cm="1">
        <f t="array" ref="O475">_xlfn.IFS(J475="M","Medium",J475="L","Light",J475="D","Dark")</f>
        <v>Light</v>
      </c>
      <c r="P475" t="str">
        <f>_xlfn.XLOOKUP(Orders[[#This Row],[Customer ID]],customers!$A$1:$A$1001,customers!$I$1:$I$1001,,0)</f>
        <v>No</v>
      </c>
    </row>
    <row r="476" spans="1:16" x14ac:dyDescent="0.35">
      <c r="A476" s="2" t="s">
        <v>3170</v>
      </c>
      <c r="B476" s="5">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6">
        <f>INDEX(products!$A$1:$G$49,MATCH(orders!$D476,products!$A$1:$A$49,0),MATCH(K$1,products!$A$1:$G$1,0))</f>
        <v>2.5</v>
      </c>
      <c r="L476" s="7">
        <f>INDEX(products!$A$1:$G$49,MATCH(orders!$D476,products!$A$1:$A$49,0),MATCH(L$1,products!$A$1:$G$1,0))</f>
        <v>31.624999999999996</v>
      </c>
      <c r="M476" s="7">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ID]],customers!$A$1:$A$1001,customers!$I$1:$I$1001,,0)</f>
        <v>Yes</v>
      </c>
    </row>
    <row r="477" spans="1:16" x14ac:dyDescent="0.35">
      <c r="A477" s="2" t="s">
        <v>3176</v>
      </c>
      <c r="B477" s="5">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6">
        <f>INDEX(products!$A$1:$G$49,MATCH(orders!$D477,products!$A$1:$A$49,0),MATCH(K$1,products!$A$1:$G$1,0))</f>
        <v>0.2</v>
      </c>
      <c r="L477" s="7">
        <f>INDEX(products!$A$1:$G$49,MATCH(orders!$D477,products!$A$1:$A$49,0),MATCH(L$1,products!$A$1:$G$1,0))</f>
        <v>4.3650000000000002</v>
      </c>
      <c r="M477" s="7">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ID]],customers!$A$1:$A$1001,customers!$I$1:$I$1001,,0)</f>
        <v>No</v>
      </c>
    </row>
    <row r="478" spans="1:16" x14ac:dyDescent="0.35">
      <c r="A478" s="2" t="s">
        <v>3181</v>
      </c>
      <c r="B478" s="5">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6">
        <f>INDEX(products!$A$1:$G$49,MATCH(orders!$D478,products!$A$1:$A$49,0),MATCH(K$1,products!$A$1:$G$1,0))</f>
        <v>0.2</v>
      </c>
      <c r="L478" s="7">
        <f>INDEX(products!$A$1:$G$49,MATCH(orders!$D478,products!$A$1:$A$49,0),MATCH(L$1,products!$A$1:$G$1,0))</f>
        <v>4.4550000000000001</v>
      </c>
      <c r="M478" s="7">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ID]],customers!$A$1:$A$1001,customers!$I$1:$I$1001,,0)</f>
        <v>Yes</v>
      </c>
    </row>
    <row r="479" spans="1:16" x14ac:dyDescent="0.35">
      <c r="A479" s="2" t="s">
        <v>3187</v>
      </c>
      <c r="B479" s="5">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6">
        <f>INDEX(products!$A$1:$G$49,MATCH(orders!$D479,products!$A$1:$A$49,0),MATCH(K$1,products!$A$1:$G$1,0))</f>
        <v>0.2</v>
      </c>
      <c r="L479" s="7">
        <f>INDEX(products!$A$1:$G$49,MATCH(orders!$D479,products!$A$1:$A$49,0),MATCH(L$1,products!$A$1:$G$1,0))</f>
        <v>4.3650000000000002</v>
      </c>
      <c r="M479" s="7">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ID]],customers!$A$1:$A$1001,customers!$I$1:$I$1001,,0)</f>
        <v>No</v>
      </c>
    </row>
    <row r="480" spans="1:16" x14ac:dyDescent="0.35">
      <c r="A480" s="2" t="s">
        <v>3193</v>
      </c>
      <c r="B480" s="5">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6">
        <f>INDEX(products!$A$1:$G$49,MATCH(orders!$D480,products!$A$1:$A$49,0),MATCH(K$1,products!$A$1:$G$1,0))</f>
        <v>1</v>
      </c>
      <c r="L480" s="7">
        <f>INDEX(products!$A$1:$G$49,MATCH(orders!$D480,products!$A$1:$A$49,0),MATCH(L$1,products!$A$1:$G$1,0))</f>
        <v>8.9499999999999993</v>
      </c>
      <c r="M480" s="7">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ID]],customers!$A$1:$A$1001,customers!$I$1:$I$1001,,0)</f>
        <v>Yes</v>
      </c>
    </row>
    <row r="481" spans="1:16" x14ac:dyDescent="0.35">
      <c r="A481" s="2" t="s">
        <v>3193</v>
      </c>
      <c r="B481" s="5">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6">
        <f>INDEX(products!$A$1:$G$49,MATCH(orders!$D481,products!$A$1:$A$49,0),MATCH(K$1,products!$A$1:$G$1,0))</f>
        <v>2.5</v>
      </c>
      <c r="L481" s="7">
        <f>INDEX(products!$A$1:$G$49,MATCH(orders!$D481,products!$A$1:$A$49,0),MATCH(L$1,products!$A$1:$G$1,0))</f>
        <v>31.624999999999996</v>
      </c>
      <c r="M481" s="7">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ID]],customers!$A$1:$A$1001,customers!$I$1:$I$1001,,0)</f>
        <v>Yes</v>
      </c>
    </row>
    <row r="482" spans="1:16" x14ac:dyDescent="0.35">
      <c r="A482" s="2" t="s">
        <v>3193</v>
      </c>
      <c r="B482" s="5">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6">
        <f>INDEX(products!$A$1:$G$49,MATCH(orders!$D482,products!$A$1:$A$49,0),MATCH(K$1,products!$A$1:$G$1,0))</f>
        <v>0.2</v>
      </c>
      <c r="L482" s="7">
        <f>INDEX(products!$A$1:$G$49,MATCH(orders!$D482,products!$A$1:$A$49,0),MATCH(L$1,products!$A$1:$G$1,0))</f>
        <v>4.125</v>
      </c>
      <c r="M482" s="7">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ID]],customers!$A$1:$A$1001,customers!$I$1:$I$1001,,0)</f>
        <v>Yes</v>
      </c>
    </row>
    <row r="483" spans="1:16" x14ac:dyDescent="0.35">
      <c r="A483" s="2" t="s">
        <v>3208</v>
      </c>
      <c r="B483" s="5">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6">
        <f>INDEX(products!$A$1:$G$49,MATCH(orders!$D483,products!$A$1:$A$49,0),MATCH(K$1,products!$A$1:$G$1,0))</f>
        <v>1</v>
      </c>
      <c r="L483" s="7">
        <f>INDEX(products!$A$1:$G$49,MATCH(orders!$D483,products!$A$1:$A$49,0),MATCH(L$1,products!$A$1:$G$1,0))</f>
        <v>11.95</v>
      </c>
      <c r="M483" s="7">
        <f t="shared" si="7"/>
        <v>23.9</v>
      </c>
      <c r="N483" t="str" cm="1">
        <f t="array" ref="N483">_xlfn.IFS(I483="Rob","Robusta",I483="Exc","Excelsa",I483="Ara","Arabica",I483="Lib","Liberica")</f>
        <v>Robusta</v>
      </c>
      <c r="O483" t="str" cm="1">
        <f t="array" ref="O483">_xlfn.IFS(J483="M","Medium",J483="L","Light",J483="D","Dark")</f>
        <v>Light</v>
      </c>
      <c r="P483" t="str">
        <f>_xlfn.XLOOKUP(Orders[[#This Row],[Customer ID]],customers!$A$1:$A$1001,customers!$I$1:$I$1001,,0)</f>
        <v>No</v>
      </c>
    </row>
    <row r="484" spans="1:16" x14ac:dyDescent="0.35">
      <c r="A484" s="2" t="s">
        <v>3214</v>
      </c>
      <c r="B484" s="5">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6">
        <f>INDEX(products!$A$1:$G$49,MATCH(orders!$D484,products!$A$1:$A$49,0),MATCH(K$1,products!$A$1:$G$1,0))</f>
        <v>2.5</v>
      </c>
      <c r="L484" s="7">
        <f>INDEX(products!$A$1:$G$49,MATCH(orders!$D484,products!$A$1:$A$49,0),MATCH(L$1,products!$A$1:$G$1,0))</f>
        <v>27.945</v>
      </c>
      <c r="M484" s="7">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ID]],customers!$A$1:$A$1001,customers!$I$1:$I$1001,,0)</f>
        <v>Yes</v>
      </c>
    </row>
    <row r="485" spans="1:16" x14ac:dyDescent="0.35">
      <c r="A485" s="2" t="s">
        <v>3220</v>
      </c>
      <c r="B485" s="5">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6">
        <f>INDEX(products!$A$1:$G$49,MATCH(orders!$D485,products!$A$1:$A$49,0),MATCH(K$1,products!$A$1:$G$1,0))</f>
        <v>2.5</v>
      </c>
      <c r="L485" s="7">
        <f>INDEX(products!$A$1:$G$49,MATCH(orders!$D485,products!$A$1:$A$49,0),MATCH(L$1,products!$A$1:$G$1,0))</f>
        <v>29.784999999999997</v>
      </c>
      <c r="M485" s="7">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ID]],customers!$A$1:$A$1001,customers!$I$1:$I$1001,,0)</f>
        <v>Yes</v>
      </c>
    </row>
    <row r="486" spans="1:16" x14ac:dyDescent="0.35">
      <c r="A486" s="2" t="s">
        <v>3225</v>
      </c>
      <c r="B486" s="5">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6">
        <f>INDEX(products!$A$1:$G$49,MATCH(orders!$D486,products!$A$1:$A$49,0),MATCH(K$1,products!$A$1:$G$1,0))</f>
        <v>0.5</v>
      </c>
      <c r="L486" s="7">
        <f>INDEX(products!$A$1:$G$49,MATCH(orders!$D486,products!$A$1:$A$49,0),MATCH(L$1,products!$A$1:$G$1,0))</f>
        <v>9.51</v>
      </c>
      <c r="M486" s="7">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ID]],customers!$A$1:$A$1001,customers!$I$1:$I$1001,,0)</f>
        <v>No</v>
      </c>
    </row>
    <row r="487" spans="1:16" x14ac:dyDescent="0.35">
      <c r="A487" s="2" t="s">
        <v>3230</v>
      </c>
      <c r="B487" s="5">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6">
        <f>INDEX(products!$A$1:$G$49,MATCH(orders!$D487,products!$A$1:$A$49,0),MATCH(K$1,products!$A$1:$G$1,0))</f>
        <v>0.2</v>
      </c>
      <c r="L487" s="7">
        <f>INDEX(products!$A$1:$G$49,MATCH(orders!$D487,products!$A$1:$A$49,0),MATCH(L$1,products!$A$1:$G$1,0))</f>
        <v>3.5849999999999995</v>
      </c>
      <c r="M487" s="7">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ID]],customers!$A$1:$A$1001,customers!$I$1:$I$1001,,0)</f>
        <v>Yes</v>
      </c>
    </row>
    <row r="488" spans="1:16" x14ac:dyDescent="0.35">
      <c r="A488" s="2" t="s">
        <v>3236</v>
      </c>
      <c r="B488" s="5">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6">
        <f>INDEX(products!$A$1:$G$49,MATCH(orders!$D488,products!$A$1:$A$49,0),MATCH(K$1,products!$A$1:$G$1,0))</f>
        <v>0.5</v>
      </c>
      <c r="L488" s="7">
        <f>INDEX(products!$A$1:$G$49,MATCH(orders!$D488,products!$A$1:$A$49,0),MATCH(L$1,products!$A$1:$G$1,0))</f>
        <v>8.73</v>
      </c>
      <c r="M488" s="7">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ID]],customers!$A$1:$A$1001,customers!$I$1:$I$1001,,0)</f>
        <v>Yes</v>
      </c>
    </row>
    <row r="489" spans="1:16" x14ac:dyDescent="0.35">
      <c r="A489" s="2" t="s">
        <v>3242</v>
      </c>
      <c r="B489" s="5">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6">
        <f>INDEX(products!$A$1:$G$49,MATCH(orders!$D489,products!$A$1:$A$49,0),MATCH(K$1,products!$A$1:$G$1,0))</f>
        <v>1</v>
      </c>
      <c r="L489" s="7">
        <f>INDEX(products!$A$1:$G$49,MATCH(orders!$D489,products!$A$1:$A$49,0),MATCH(L$1,products!$A$1:$G$1,0))</f>
        <v>12.15</v>
      </c>
      <c r="M489" s="7">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ID]],customers!$A$1:$A$1001,customers!$I$1:$I$1001,,0)</f>
        <v>No</v>
      </c>
    </row>
    <row r="490" spans="1:16" x14ac:dyDescent="0.35">
      <c r="A490" s="2" t="s">
        <v>3248</v>
      </c>
      <c r="B490" s="5">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6">
        <f>INDEX(products!$A$1:$G$49,MATCH(orders!$D490,products!$A$1:$A$49,0),MATCH(K$1,products!$A$1:$G$1,0))</f>
        <v>0.2</v>
      </c>
      <c r="L490" s="7">
        <f>INDEX(products!$A$1:$G$49,MATCH(orders!$D490,products!$A$1:$A$49,0),MATCH(L$1,products!$A$1:$G$1,0))</f>
        <v>2.9849999999999999</v>
      </c>
      <c r="M490" s="7">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ID]],customers!$A$1:$A$1001,customers!$I$1:$I$1001,,0)</f>
        <v>Yes</v>
      </c>
    </row>
    <row r="491" spans="1:16" x14ac:dyDescent="0.35">
      <c r="A491" s="2" t="s">
        <v>3254</v>
      </c>
      <c r="B491" s="5">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6">
        <f>INDEX(products!$A$1:$G$49,MATCH(orders!$D491,products!$A$1:$A$49,0),MATCH(K$1,products!$A$1:$G$1,0))</f>
        <v>1</v>
      </c>
      <c r="L491" s="7">
        <f>INDEX(products!$A$1:$G$49,MATCH(orders!$D491,products!$A$1:$A$49,0),MATCH(L$1,products!$A$1:$G$1,0))</f>
        <v>15.85</v>
      </c>
      <c r="M491" s="7">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ID]],customers!$A$1:$A$1001,customers!$I$1:$I$1001,,0)</f>
        <v>No</v>
      </c>
    </row>
    <row r="492" spans="1:16" x14ac:dyDescent="0.35">
      <c r="A492" s="2" t="s">
        <v>3260</v>
      </c>
      <c r="B492" s="5">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6">
        <f>INDEX(products!$A$1:$G$49,MATCH(orders!$D492,products!$A$1:$A$49,0),MATCH(K$1,products!$A$1:$G$1,0))</f>
        <v>0.5</v>
      </c>
      <c r="L492" s="7">
        <f>INDEX(products!$A$1:$G$49,MATCH(orders!$D492,products!$A$1:$A$49,0),MATCH(L$1,products!$A$1:$G$1,0))</f>
        <v>7.77</v>
      </c>
      <c r="M492" s="7">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ID]],customers!$A$1:$A$1001,customers!$I$1:$I$1001,,0)</f>
        <v>No</v>
      </c>
    </row>
    <row r="493" spans="1:16" x14ac:dyDescent="0.35">
      <c r="A493" s="2" t="s">
        <v>3266</v>
      </c>
      <c r="B493" s="5">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6">
        <f>INDEX(products!$A$1:$G$49,MATCH(orders!$D493,products!$A$1:$A$49,0),MATCH(K$1,products!$A$1:$G$1,0))</f>
        <v>0.2</v>
      </c>
      <c r="L493" s="7">
        <f>INDEX(products!$A$1:$G$49,MATCH(orders!$D493,products!$A$1:$A$49,0),MATCH(L$1,products!$A$1:$G$1,0))</f>
        <v>3.8849999999999998</v>
      </c>
      <c r="M493" s="7">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ID]],customers!$A$1:$A$1001,customers!$I$1:$I$1001,,0)</f>
        <v>No</v>
      </c>
    </row>
    <row r="494" spans="1:16" x14ac:dyDescent="0.35">
      <c r="A494" s="2" t="s">
        <v>3271</v>
      </c>
      <c r="B494" s="5">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6">
        <f>INDEX(products!$A$1:$G$49,MATCH(orders!$D494,products!$A$1:$A$49,0),MATCH(K$1,products!$A$1:$G$1,0))</f>
        <v>0.2</v>
      </c>
      <c r="L494" s="7">
        <f>INDEX(products!$A$1:$G$49,MATCH(orders!$D494,products!$A$1:$A$49,0),MATCH(L$1,products!$A$1:$G$1,0))</f>
        <v>4.125</v>
      </c>
      <c r="M494" s="7">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ID]],customers!$A$1:$A$1001,customers!$I$1:$I$1001,,0)</f>
        <v>Yes</v>
      </c>
    </row>
    <row r="495" spans="1:16" x14ac:dyDescent="0.35">
      <c r="A495" s="2" t="s">
        <v>3277</v>
      </c>
      <c r="B495" s="5">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6">
        <f>INDEX(products!$A$1:$G$49,MATCH(orders!$D495,products!$A$1:$A$49,0),MATCH(K$1,products!$A$1:$G$1,0))</f>
        <v>0.5</v>
      </c>
      <c r="L495" s="7">
        <f>INDEX(products!$A$1:$G$49,MATCH(orders!$D495,products!$A$1:$A$49,0),MATCH(L$1,products!$A$1:$G$1,0))</f>
        <v>5.97</v>
      </c>
      <c r="M495" s="7">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ID]],customers!$A$1:$A$1001,customers!$I$1:$I$1001,,0)</f>
        <v>No</v>
      </c>
    </row>
    <row r="496" spans="1:16" x14ac:dyDescent="0.35">
      <c r="A496" s="2" t="s">
        <v>3283</v>
      </c>
      <c r="B496" s="5">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6">
        <f>INDEX(products!$A$1:$G$49,MATCH(orders!$D496,products!$A$1:$A$49,0),MATCH(K$1,products!$A$1:$G$1,0))</f>
        <v>1</v>
      </c>
      <c r="L496" s="7">
        <f>INDEX(products!$A$1:$G$49,MATCH(orders!$D496,products!$A$1:$A$49,0),MATCH(L$1,products!$A$1:$G$1,0))</f>
        <v>15.85</v>
      </c>
      <c r="M496" s="7">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ID]],customers!$A$1:$A$1001,customers!$I$1:$I$1001,,0)</f>
        <v>No</v>
      </c>
    </row>
    <row r="497" spans="1:16" x14ac:dyDescent="0.35">
      <c r="A497" s="2" t="s">
        <v>3289</v>
      </c>
      <c r="B497" s="5">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6">
        <f>INDEX(products!$A$1:$G$49,MATCH(orders!$D497,products!$A$1:$A$49,0),MATCH(K$1,products!$A$1:$G$1,0))</f>
        <v>1</v>
      </c>
      <c r="L497" s="7">
        <f>INDEX(products!$A$1:$G$49,MATCH(orders!$D497,products!$A$1:$A$49,0),MATCH(L$1,products!$A$1:$G$1,0))</f>
        <v>15.85</v>
      </c>
      <c r="M497" s="7">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ID]],customers!$A$1:$A$1001,customers!$I$1:$I$1001,,0)</f>
        <v>Yes</v>
      </c>
    </row>
    <row r="498" spans="1:16" x14ac:dyDescent="0.35">
      <c r="A498" s="2" t="s">
        <v>3294</v>
      </c>
      <c r="B498" s="5">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6">
        <f>INDEX(products!$A$1:$G$49,MATCH(orders!$D498,products!$A$1:$A$49,0),MATCH(K$1,products!$A$1:$G$1,0))</f>
        <v>0.2</v>
      </c>
      <c r="L498" s="7">
        <f>INDEX(products!$A$1:$G$49,MATCH(orders!$D498,products!$A$1:$A$49,0),MATCH(L$1,products!$A$1:$G$1,0))</f>
        <v>3.645</v>
      </c>
      <c r="M498" s="7">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ID]],customers!$A$1:$A$1001,customers!$I$1:$I$1001,,0)</f>
        <v>No</v>
      </c>
    </row>
    <row r="499" spans="1:16" x14ac:dyDescent="0.35">
      <c r="A499" s="2" t="s">
        <v>3300</v>
      </c>
      <c r="B499" s="5">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6">
        <f>INDEX(products!$A$1:$G$49,MATCH(orders!$D499,products!$A$1:$A$49,0),MATCH(K$1,products!$A$1:$G$1,0))</f>
        <v>1</v>
      </c>
      <c r="L499" s="7">
        <f>INDEX(products!$A$1:$G$49,MATCH(orders!$D499,products!$A$1:$A$49,0),MATCH(L$1,products!$A$1:$G$1,0))</f>
        <v>9.9499999999999993</v>
      </c>
      <c r="M499" s="7">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ID]],customers!$A$1:$A$1001,customers!$I$1:$I$1001,,0)</f>
        <v>No</v>
      </c>
    </row>
    <row r="500" spans="1:16" x14ac:dyDescent="0.35">
      <c r="A500" s="2" t="s">
        <v>3307</v>
      </c>
      <c r="B500" s="5">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6">
        <f>INDEX(products!$A$1:$G$49,MATCH(orders!$D500,products!$A$1:$A$49,0),MATCH(K$1,products!$A$1:$G$1,0))</f>
        <v>1</v>
      </c>
      <c r="L500" s="7">
        <f>INDEX(products!$A$1:$G$49,MATCH(orders!$D500,products!$A$1:$A$49,0),MATCH(L$1,products!$A$1:$G$1,0))</f>
        <v>9.9499999999999993</v>
      </c>
      <c r="M500" s="7">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ID]],customers!$A$1:$A$1001,customers!$I$1:$I$1001,,0)</f>
        <v>Yes</v>
      </c>
    </row>
    <row r="501" spans="1:16" x14ac:dyDescent="0.35">
      <c r="A501" s="2" t="s">
        <v>3313</v>
      </c>
      <c r="B501" s="5">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6">
        <f>INDEX(products!$A$1:$G$49,MATCH(orders!$D501,products!$A$1:$A$49,0),MATCH(K$1,products!$A$1:$G$1,0))</f>
        <v>0.2</v>
      </c>
      <c r="L501" s="7">
        <f>INDEX(products!$A$1:$G$49,MATCH(orders!$D501,products!$A$1:$A$49,0),MATCH(L$1,products!$A$1:$G$1,0))</f>
        <v>2.6849999999999996</v>
      </c>
      <c r="M501" s="7">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ID]],customers!$A$1:$A$1001,customers!$I$1:$I$1001,,0)</f>
        <v>Yes</v>
      </c>
    </row>
    <row r="502" spans="1:16" x14ac:dyDescent="0.35">
      <c r="A502" s="2" t="s">
        <v>3318</v>
      </c>
      <c r="B502" s="5">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6">
        <f>INDEX(products!$A$1:$G$49,MATCH(orders!$D502,products!$A$1:$A$49,0),MATCH(K$1,products!$A$1:$G$1,0))</f>
        <v>1</v>
      </c>
      <c r="L502" s="7">
        <f>INDEX(products!$A$1:$G$49,MATCH(orders!$D502,products!$A$1:$A$49,0),MATCH(L$1,products!$A$1:$G$1,0))</f>
        <v>11.95</v>
      </c>
      <c r="M502" s="7">
        <f t="shared" si="7"/>
        <v>47.8</v>
      </c>
      <c r="N502" t="str" cm="1">
        <f t="array" ref="N502">_xlfn.IFS(I502="Rob","Robusta",I502="Exc","Excelsa",I502="Ara","Arabica",I502="Lib","Liberica")</f>
        <v>Robusta</v>
      </c>
      <c r="O502" t="str" cm="1">
        <f t="array" ref="O502">_xlfn.IFS(J502="M","Medium",J502="L","Light",J502="D","Dark")</f>
        <v>Light</v>
      </c>
      <c r="P502" t="str">
        <f>_xlfn.XLOOKUP(Orders[[#This Row],[Customer ID]],customers!$A$1:$A$1001,customers!$I$1:$I$1001,,0)</f>
        <v>No</v>
      </c>
    </row>
    <row r="503" spans="1:16" x14ac:dyDescent="0.35">
      <c r="A503" s="2" t="s">
        <v>3323</v>
      </c>
      <c r="B503" s="5">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6">
        <f>INDEX(products!$A$1:$G$49,MATCH(orders!$D503,products!$A$1:$A$49,0),MATCH(K$1,products!$A$1:$G$1,0))</f>
        <v>0.2</v>
      </c>
      <c r="L503" s="7">
        <f>INDEX(products!$A$1:$G$49,MATCH(orders!$D503,products!$A$1:$A$49,0),MATCH(L$1,products!$A$1:$G$1,0))</f>
        <v>2.9849999999999999</v>
      </c>
      <c r="M503" s="7">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ID]],customers!$A$1:$A$1001,customers!$I$1:$I$1001,,0)</f>
        <v>No</v>
      </c>
    </row>
    <row r="504" spans="1:16" x14ac:dyDescent="0.35">
      <c r="A504" s="2" t="s">
        <v>3323</v>
      </c>
      <c r="B504" s="5">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6">
        <f>INDEX(products!$A$1:$G$49,MATCH(orders!$D504,products!$A$1:$A$49,0),MATCH(K$1,products!$A$1:$G$1,0))</f>
        <v>0.2</v>
      </c>
      <c r="L504" s="7">
        <f>INDEX(products!$A$1:$G$49,MATCH(orders!$D504,products!$A$1:$A$49,0),MATCH(L$1,products!$A$1:$G$1,0))</f>
        <v>4.125</v>
      </c>
      <c r="M504" s="7">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ID]],customers!$A$1:$A$1001,customers!$I$1:$I$1001,,0)</f>
        <v>No</v>
      </c>
    </row>
    <row r="505" spans="1:16" x14ac:dyDescent="0.35">
      <c r="A505" s="2" t="s">
        <v>3323</v>
      </c>
      <c r="B505" s="5">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6">
        <f>INDEX(products!$A$1:$G$49,MATCH(orders!$D505,products!$A$1:$A$49,0),MATCH(K$1,products!$A$1:$G$1,0))</f>
        <v>1</v>
      </c>
      <c r="L505" s="7">
        <f>INDEX(products!$A$1:$G$49,MATCH(orders!$D505,products!$A$1:$A$49,0),MATCH(L$1,products!$A$1:$G$1,0))</f>
        <v>12.95</v>
      </c>
      <c r="M505" s="7">
        <f t="shared" si="7"/>
        <v>51.8</v>
      </c>
      <c r="N505" t="str" cm="1">
        <f t="array" ref="N505">_xlfn.IFS(I505="Rob","Robusta",I505="Exc","Excelsa",I505="Ara","Arabica",I505="Lib","Liberica")</f>
        <v>Liberica</v>
      </c>
      <c r="O505" t="str" cm="1">
        <f t="array" ref="O505">_xlfn.IFS(J505="M","Medium",J505="L","Light",J505="D","Dark")</f>
        <v>Dark</v>
      </c>
      <c r="P505" t="str">
        <f>_xlfn.XLOOKUP(Orders[[#This Row],[Customer ID]],customers!$A$1:$A$1001,customers!$I$1:$I$1001,,0)</f>
        <v>No</v>
      </c>
    </row>
    <row r="506" spans="1:16" x14ac:dyDescent="0.35">
      <c r="A506" s="2" t="s">
        <v>3323</v>
      </c>
      <c r="B506" s="5">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6">
        <f>INDEX(products!$A$1:$G$49,MATCH(orders!$D506,products!$A$1:$A$49,0),MATCH(K$1,products!$A$1:$G$1,0))</f>
        <v>0.2</v>
      </c>
      <c r="L506" s="7">
        <f>INDEX(products!$A$1:$G$49,MATCH(orders!$D506,products!$A$1:$A$49,0),MATCH(L$1,products!$A$1:$G$1,0))</f>
        <v>4.7549999999999999</v>
      </c>
      <c r="M506" s="7">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ID]],customers!$A$1:$A$1001,customers!$I$1:$I$1001,,0)</f>
        <v>No</v>
      </c>
    </row>
    <row r="507" spans="1:16" x14ac:dyDescent="0.35">
      <c r="A507" s="2" t="s">
        <v>3343</v>
      </c>
      <c r="B507" s="5">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6">
        <f>INDEX(products!$A$1:$G$49,MATCH(orders!$D507,products!$A$1:$A$49,0),MATCH(K$1,products!$A$1:$G$1,0))</f>
        <v>0.2</v>
      </c>
      <c r="L507" s="7">
        <f>INDEX(products!$A$1:$G$49,MATCH(orders!$D507,products!$A$1:$A$49,0),MATCH(L$1,products!$A$1:$G$1,0))</f>
        <v>4.3650000000000002</v>
      </c>
      <c r="M507" s="7">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ID]],customers!$A$1:$A$1001,customers!$I$1:$I$1001,,0)</f>
        <v>No</v>
      </c>
    </row>
    <row r="508" spans="1:16" x14ac:dyDescent="0.35">
      <c r="A508" s="2" t="s">
        <v>3349</v>
      </c>
      <c r="B508" s="5">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6">
        <f>INDEX(products!$A$1:$G$49,MATCH(orders!$D508,products!$A$1:$A$49,0),MATCH(K$1,products!$A$1:$G$1,0))</f>
        <v>1</v>
      </c>
      <c r="L508" s="7">
        <f>INDEX(products!$A$1:$G$49,MATCH(orders!$D508,products!$A$1:$A$49,0),MATCH(L$1,products!$A$1:$G$1,0))</f>
        <v>12.95</v>
      </c>
      <c r="M508" s="7">
        <f t="shared" si="7"/>
        <v>25.9</v>
      </c>
      <c r="N508" t="str" cm="1">
        <f t="array" ref="N508">_xlfn.IFS(I508="Rob","Robusta",I508="Exc","Excelsa",I508="Ara","Arabica",I508="Lib","Liberica")</f>
        <v>Arabica</v>
      </c>
      <c r="O508" t="str" cm="1">
        <f t="array" ref="O508">_xlfn.IFS(J508="M","Medium",J508="L","Light",J508="D","Dark")</f>
        <v>Light</v>
      </c>
      <c r="P508" t="str">
        <f>_xlfn.XLOOKUP(Orders[[#This Row],[Customer ID]],customers!$A$1:$A$1001,customers!$I$1:$I$1001,,0)</f>
        <v>Yes</v>
      </c>
    </row>
    <row r="509" spans="1:16" x14ac:dyDescent="0.35">
      <c r="A509" s="2" t="s">
        <v>3355</v>
      </c>
      <c r="B509" s="5">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6">
        <f>INDEX(products!$A$1:$G$49,MATCH(orders!$D509,products!$A$1:$A$49,0),MATCH(K$1,products!$A$1:$G$1,0))</f>
        <v>2.5</v>
      </c>
      <c r="L509" s="7">
        <f>INDEX(products!$A$1:$G$49,MATCH(orders!$D509,products!$A$1:$A$49,0),MATCH(L$1,products!$A$1:$G$1,0))</f>
        <v>29.784999999999997</v>
      </c>
      <c r="M509" s="7">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ID]],customers!$A$1:$A$1001,customers!$I$1:$I$1001,,0)</f>
        <v>Yes</v>
      </c>
    </row>
    <row r="510" spans="1:16" x14ac:dyDescent="0.35">
      <c r="A510" s="2" t="s">
        <v>3361</v>
      </c>
      <c r="B510" s="5">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6">
        <f>INDEX(products!$A$1:$G$49,MATCH(orders!$D510,products!$A$1:$A$49,0),MATCH(K$1,products!$A$1:$G$1,0))</f>
        <v>0.5</v>
      </c>
      <c r="L510" s="7">
        <f>INDEX(products!$A$1:$G$49,MATCH(orders!$D510,products!$A$1:$A$49,0),MATCH(L$1,products!$A$1:$G$1,0))</f>
        <v>7.77</v>
      </c>
      <c r="M510" s="7">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ID]],customers!$A$1:$A$1001,customers!$I$1:$I$1001,,0)</f>
        <v>No</v>
      </c>
    </row>
    <row r="511" spans="1:16" x14ac:dyDescent="0.35">
      <c r="A511" s="2" t="s">
        <v>3367</v>
      </c>
      <c r="B511" s="5">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6">
        <f>INDEX(products!$A$1:$G$49,MATCH(orders!$D511,products!$A$1:$A$49,0),MATCH(K$1,products!$A$1:$G$1,0))</f>
        <v>1</v>
      </c>
      <c r="L511" s="7">
        <f>INDEX(products!$A$1:$G$49,MATCH(orders!$D511,products!$A$1:$A$49,0),MATCH(L$1,products!$A$1:$G$1,0))</f>
        <v>9.9499999999999993</v>
      </c>
      <c r="M511" s="7">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ID]],customers!$A$1:$A$1001,customers!$I$1:$I$1001,,0)</f>
        <v>Yes</v>
      </c>
    </row>
    <row r="512" spans="1:16" x14ac:dyDescent="0.35">
      <c r="A512" s="2" t="s">
        <v>3373</v>
      </c>
      <c r="B512" s="5">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6">
        <f>INDEX(products!$A$1:$G$49,MATCH(orders!$D512,products!$A$1:$A$49,0),MATCH(K$1,products!$A$1:$G$1,0))</f>
        <v>0.2</v>
      </c>
      <c r="L512" s="7">
        <f>INDEX(products!$A$1:$G$49,MATCH(orders!$D512,products!$A$1:$A$49,0),MATCH(L$1,products!$A$1:$G$1,0))</f>
        <v>3.5849999999999995</v>
      </c>
      <c r="M512" s="7">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ID]],customers!$A$1:$A$1001,customers!$I$1:$I$1001,,0)</f>
        <v>Yes</v>
      </c>
    </row>
    <row r="513" spans="1:16" x14ac:dyDescent="0.35">
      <c r="A513" s="2" t="s">
        <v>3379</v>
      </c>
      <c r="B513" s="5">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6">
        <f>INDEX(products!$A$1:$G$49,MATCH(orders!$D513,products!$A$1:$A$49,0),MATCH(K$1,products!$A$1:$G$1,0))</f>
        <v>0.2</v>
      </c>
      <c r="L513" s="7">
        <f>INDEX(products!$A$1:$G$49,MATCH(orders!$D513,products!$A$1:$A$49,0),MATCH(L$1,products!$A$1:$G$1,0))</f>
        <v>3.375</v>
      </c>
      <c r="M513" s="7">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ID]],customers!$A$1:$A$1001,customers!$I$1:$I$1001,,0)</f>
        <v>Yes</v>
      </c>
    </row>
    <row r="514" spans="1:16" x14ac:dyDescent="0.35">
      <c r="A514" s="2" t="s">
        <v>3385</v>
      </c>
      <c r="B514" s="5">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6">
        <f>INDEX(products!$A$1:$G$49,MATCH(orders!$D514,products!$A$1:$A$49,0),MATCH(K$1,products!$A$1:$G$1,0))</f>
        <v>1</v>
      </c>
      <c r="L514" s="7">
        <f>INDEX(products!$A$1:$G$49,MATCH(orders!$D514,products!$A$1:$A$49,0),MATCH(L$1,products!$A$1:$G$1,0))</f>
        <v>15.85</v>
      </c>
      <c r="M514" s="7">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ID]],customers!$A$1:$A$1001,customers!$I$1:$I$1001,,0)</f>
        <v>No</v>
      </c>
    </row>
    <row r="515" spans="1:16" x14ac:dyDescent="0.35">
      <c r="A515" s="2" t="s">
        <v>3391</v>
      </c>
      <c r="B515" s="5">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6">
        <f>INDEX(products!$A$1:$G$49,MATCH(orders!$D515,products!$A$1:$A$49,0),MATCH(K$1,products!$A$1:$G$1,0))</f>
        <v>1</v>
      </c>
      <c r="L515" s="7">
        <f>INDEX(products!$A$1:$G$49,MATCH(orders!$D515,products!$A$1:$A$49,0),MATCH(L$1,products!$A$1:$G$1,0))</f>
        <v>15.85</v>
      </c>
      <c r="M515" s="7">
        <f t="shared" ref="M515:M578" si="8">PRODUCT(L515,E515)</f>
        <v>79.25</v>
      </c>
      <c r="N515" t="str" cm="1">
        <f t="array" ref="N515">_xlfn.IFS(I515="Rob","Robusta",I515="Exc","Excelsa",I515="Ara","Arabica",I515="Lib","Liberica")</f>
        <v>Liberica</v>
      </c>
      <c r="O515" t="str" cm="1">
        <f t="array" ref="O515">_xlfn.IFS(J515="M","Medium",J515="L","Light",J515="D","Dark")</f>
        <v>Light</v>
      </c>
      <c r="P515" t="str">
        <f>_xlfn.XLOOKUP(Orders[[#This Row],[Customer ID]],customers!$A$1:$A$1001,customers!$I$1:$I$1001,,0)</f>
        <v>No</v>
      </c>
    </row>
    <row r="516" spans="1:16" x14ac:dyDescent="0.35">
      <c r="A516" s="2" t="s">
        <v>3396</v>
      </c>
      <c r="B516" s="5">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6">
        <f>INDEX(products!$A$1:$G$49,MATCH(orders!$D516,products!$A$1:$A$49,0),MATCH(K$1,products!$A$1:$G$1,0))</f>
        <v>0.2</v>
      </c>
      <c r="L516" s="7">
        <f>INDEX(products!$A$1:$G$49,MATCH(orders!$D516,products!$A$1:$A$49,0),MATCH(L$1,products!$A$1:$G$1,0))</f>
        <v>4.3650000000000002</v>
      </c>
      <c r="M516" s="7">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ID]],customers!$A$1:$A$1001,customers!$I$1:$I$1001,,0)</f>
        <v>Yes</v>
      </c>
    </row>
    <row r="517" spans="1:16" x14ac:dyDescent="0.35">
      <c r="A517" s="2" t="s">
        <v>3402</v>
      </c>
      <c r="B517" s="5">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6">
        <f>INDEX(products!$A$1:$G$49,MATCH(orders!$D517,products!$A$1:$A$49,0),MATCH(K$1,products!$A$1:$G$1,0))</f>
        <v>0.5</v>
      </c>
      <c r="L517" s="7">
        <f>INDEX(products!$A$1:$G$49,MATCH(orders!$D517,products!$A$1:$A$49,0),MATCH(L$1,products!$A$1:$G$1,0))</f>
        <v>7.169999999999999</v>
      </c>
      <c r="M517" s="7">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ID]],customers!$A$1:$A$1001,customers!$I$1:$I$1001,,0)</f>
        <v>No</v>
      </c>
    </row>
    <row r="518" spans="1:16" x14ac:dyDescent="0.35">
      <c r="A518" s="2" t="s">
        <v>3408</v>
      </c>
      <c r="B518" s="5">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6">
        <f>INDEX(products!$A$1:$G$49,MATCH(orders!$D518,products!$A$1:$A$49,0),MATCH(K$1,products!$A$1:$G$1,0))</f>
        <v>2.5</v>
      </c>
      <c r="L518" s="7">
        <f>INDEX(products!$A$1:$G$49,MATCH(orders!$D518,products!$A$1:$A$49,0),MATCH(L$1,products!$A$1:$G$1,0))</f>
        <v>20.584999999999997</v>
      </c>
      <c r="M518" s="7">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ID]],customers!$A$1:$A$1001,customers!$I$1:$I$1001,,0)</f>
        <v>Yes</v>
      </c>
    </row>
    <row r="519" spans="1:16" x14ac:dyDescent="0.35">
      <c r="A519" s="2" t="s">
        <v>3413</v>
      </c>
      <c r="B519" s="5">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6">
        <f>INDEX(products!$A$1:$G$49,MATCH(orders!$D519,products!$A$1:$A$49,0),MATCH(K$1,products!$A$1:$G$1,0))</f>
        <v>0.2</v>
      </c>
      <c r="L519" s="7">
        <f>INDEX(products!$A$1:$G$49,MATCH(orders!$D519,products!$A$1:$A$49,0),MATCH(L$1,products!$A$1:$G$1,0))</f>
        <v>3.8849999999999998</v>
      </c>
      <c r="M519" s="7">
        <f t="shared" si="8"/>
        <v>7.77</v>
      </c>
      <c r="N519" t="str" cm="1">
        <f t="array" ref="N519">_xlfn.IFS(I519="Rob","Robusta",I519="Exc","Excelsa",I519="Ara","Arabica",I519="Lib","Liberica")</f>
        <v>Liberica</v>
      </c>
      <c r="O519" t="str" cm="1">
        <f t="array" ref="O519">_xlfn.IFS(J519="M","Medium",J519="L","Light",J519="D","Dark")</f>
        <v>Dark</v>
      </c>
      <c r="P519" t="str">
        <f>_xlfn.XLOOKUP(Orders[[#This Row],[Customer ID]],customers!$A$1:$A$1001,customers!$I$1:$I$1001,,0)</f>
        <v>No</v>
      </c>
    </row>
    <row r="520" spans="1:16" x14ac:dyDescent="0.35">
      <c r="A520" s="2" t="s">
        <v>3418</v>
      </c>
      <c r="B520" s="5">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6">
        <f>INDEX(products!$A$1:$G$49,MATCH(orders!$D520,products!$A$1:$A$49,0),MATCH(K$1,products!$A$1:$G$1,0))</f>
        <v>2.5</v>
      </c>
      <c r="L520" s="7">
        <f>INDEX(products!$A$1:$G$49,MATCH(orders!$D520,products!$A$1:$A$49,0),MATCH(L$1,products!$A$1:$G$1,0))</f>
        <v>27.945</v>
      </c>
      <c r="M520" s="7">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ID]],customers!$A$1:$A$1001,customers!$I$1:$I$1001,,0)</f>
        <v>No</v>
      </c>
    </row>
    <row r="521" spans="1:16" x14ac:dyDescent="0.35">
      <c r="A521" s="2" t="s">
        <v>3424</v>
      </c>
      <c r="B521" s="5">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6">
        <f>INDEX(products!$A$1:$G$49,MATCH(orders!$D521,products!$A$1:$A$49,0),MATCH(K$1,products!$A$1:$G$1,0))</f>
        <v>0.5</v>
      </c>
      <c r="L521" s="7">
        <f>INDEX(products!$A$1:$G$49,MATCH(orders!$D521,products!$A$1:$A$49,0),MATCH(L$1,products!$A$1:$G$1,0))</f>
        <v>5.97</v>
      </c>
      <c r="M521" s="7">
        <f t="shared" si="8"/>
        <v>11.94</v>
      </c>
      <c r="N521" t="str" cm="1">
        <f t="array" ref="N521">_xlfn.IFS(I521="Rob","Robusta",I521="Exc","Excelsa",I521="Ara","Arabica",I521="Lib","Liberica")</f>
        <v>Arabica</v>
      </c>
      <c r="O521" t="str" cm="1">
        <f t="array" ref="O521">_xlfn.IFS(J521="M","Medium",J521="L","Light",J521="D","Dark")</f>
        <v>Dark</v>
      </c>
      <c r="P521" t="str">
        <f>_xlfn.XLOOKUP(Orders[[#This Row],[Customer ID]],customers!$A$1:$A$1001,customers!$I$1:$I$1001,,0)</f>
        <v>Yes</v>
      </c>
    </row>
    <row r="522" spans="1:16" x14ac:dyDescent="0.35">
      <c r="A522" s="2" t="s">
        <v>3430</v>
      </c>
      <c r="B522" s="5">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6">
        <f>INDEX(products!$A$1:$G$49,MATCH(orders!$D522,products!$A$1:$A$49,0),MATCH(K$1,products!$A$1:$G$1,0))</f>
        <v>0.2</v>
      </c>
      <c r="L522" s="7">
        <f>INDEX(products!$A$1:$G$49,MATCH(orders!$D522,products!$A$1:$A$49,0),MATCH(L$1,products!$A$1:$G$1,0))</f>
        <v>3.8849999999999998</v>
      </c>
      <c r="M522" s="7">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ID]],customers!$A$1:$A$1001,customers!$I$1:$I$1001,,0)</f>
        <v>No</v>
      </c>
    </row>
    <row r="523" spans="1:16" x14ac:dyDescent="0.35">
      <c r="A523" s="2" t="s">
        <v>3430</v>
      </c>
      <c r="B523" s="5">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6">
        <f>INDEX(products!$A$1:$G$49,MATCH(orders!$D523,products!$A$1:$A$49,0),MATCH(K$1,products!$A$1:$G$1,0))</f>
        <v>1</v>
      </c>
      <c r="L523" s="7">
        <f>INDEX(products!$A$1:$G$49,MATCH(orders!$D523,products!$A$1:$A$49,0),MATCH(L$1,products!$A$1:$G$1,0))</f>
        <v>9.9499999999999993</v>
      </c>
      <c r="M523" s="7">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ID]],customers!$A$1:$A$1001,customers!$I$1:$I$1001,,0)</f>
        <v>No</v>
      </c>
    </row>
    <row r="524" spans="1:16" x14ac:dyDescent="0.35">
      <c r="A524" s="2" t="s">
        <v>3441</v>
      </c>
      <c r="B524" s="5">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6">
        <f>INDEX(products!$A$1:$G$49,MATCH(orders!$D524,products!$A$1:$A$49,0),MATCH(K$1,products!$A$1:$G$1,0))</f>
        <v>0.5</v>
      </c>
      <c r="L524" s="7">
        <f>INDEX(products!$A$1:$G$49,MATCH(orders!$D524,products!$A$1:$A$49,0),MATCH(L$1,products!$A$1:$G$1,0))</f>
        <v>5.97</v>
      </c>
      <c r="M524" s="7">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ID]],customers!$A$1:$A$1001,customers!$I$1:$I$1001,,0)</f>
        <v>No</v>
      </c>
    </row>
    <row r="525" spans="1:16" x14ac:dyDescent="0.35">
      <c r="A525" s="2" t="s">
        <v>3447</v>
      </c>
      <c r="B525" s="5">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6">
        <f>INDEX(products!$A$1:$G$49,MATCH(orders!$D525,products!$A$1:$A$49,0),MATCH(K$1,products!$A$1:$G$1,0))</f>
        <v>2.5</v>
      </c>
      <c r="L525" s="7">
        <f>INDEX(products!$A$1:$G$49,MATCH(orders!$D525,products!$A$1:$A$49,0),MATCH(L$1,products!$A$1:$G$1,0))</f>
        <v>29.784999999999997</v>
      </c>
      <c r="M525" s="7">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ID]],customers!$A$1:$A$1001,customers!$I$1:$I$1001,,0)</f>
        <v>No</v>
      </c>
    </row>
    <row r="526" spans="1:16" x14ac:dyDescent="0.35">
      <c r="A526" s="2" t="s">
        <v>3453</v>
      </c>
      <c r="B526" s="5">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6">
        <f>INDEX(products!$A$1:$G$49,MATCH(orders!$D526,products!$A$1:$A$49,0),MATCH(K$1,products!$A$1:$G$1,0))</f>
        <v>2.5</v>
      </c>
      <c r="L526" s="7">
        <f>INDEX(products!$A$1:$G$49,MATCH(orders!$D526,products!$A$1:$A$49,0),MATCH(L$1,products!$A$1:$G$1,0))</f>
        <v>36.454999999999998</v>
      </c>
      <c r="M526" s="7">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ID]],customers!$A$1:$A$1001,customers!$I$1:$I$1001,,0)</f>
        <v>No</v>
      </c>
    </row>
    <row r="527" spans="1:16" x14ac:dyDescent="0.35">
      <c r="A527" s="2" t="s">
        <v>3458</v>
      </c>
      <c r="B527" s="5">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6">
        <f>INDEX(products!$A$1:$G$49,MATCH(orders!$D527,products!$A$1:$A$49,0),MATCH(K$1,products!$A$1:$G$1,0))</f>
        <v>0.2</v>
      </c>
      <c r="L527" s="7">
        <f>INDEX(products!$A$1:$G$49,MATCH(orders!$D527,products!$A$1:$A$49,0),MATCH(L$1,products!$A$1:$G$1,0))</f>
        <v>2.6849999999999996</v>
      </c>
      <c r="M527" s="7">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ID]],customers!$A$1:$A$1001,customers!$I$1:$I$1001,,0)</f>
        <v>Yes</v>
      </c>
    </row>
    <row r="528" spans="1:16" x14ac:dyDescent="0.35">
      <c r="A528" s="2" t="s">
        <v>3463</v>
      </c>
      <c r="B528" s="5">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6">
        <f>INDEX(products!$A$1:$G$49,MATCH(orders!$D528,products!$A$1:$A$49,0),MATCH(K$1,products!$A$1:$G$1,0))</f>
        <v>2.5</v>
      </c>
      <c r="L528" s="7">
        <f>INDEX(products!$A$1:$G$49,MATCH(orders!$D528,products!$A$1:$A$49,0),MATCH(L$1,products!$A$1:$G$1,0))</f>
        <v>31.624999999999996</v>
      </c>
      <c r="M528" s="7">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ID]],customers!$A$1:$A$1001,customers!$I$1:$I$1001,,0)</f>
        <v>Yes</v>
      </c>
    </row>
    <row r="529" spans="1:16" x14ac:dyDescent="0.35">
      <c r="A529" s="2" t="s">
        <v>3469</v>
      </c>
      <c r="B529" s="5">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6">
        <f>INDEX(products!$A$1:$G$49,MATCH(orders!$D529,products!$A$1:$A$49,0),MATCH(K$1,products!$A$1:$G$1,0))</f>
        <v>0.5</v>
      </c>
      <c r="L529" s="7">
        <f>INDEX(products!$A$1:$G$49,MATCH(orders!$D529,products!$A$1:$A$49,0),MATCH(L$1,products!$A$1:$G$1,0))</f>
        <v>8.25</v>
      </c>
      <c r="M529" s="7">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ID]],customers!$A$1:$A$1001,customers!$I$1:$I$1001,,0)</f>
        <v>No</v>
      </c>
    </row>
    <row r="530" spans="1:16" x14ac:dyDescent="0.35">
      <c r="A530" s="2" t="s">
        <v>3475</v>
      </c>
      <c r="B530" s="5">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6">
        <f>INDEX(products!$A$1:$G$49,MATCH(orders!$D530,products!$A$1:$A$49,0),MATCH(K$1,products!$A$1:$G$1,0))</f>
        <v>0.5</v>
      </c>
      <c r="L530" s="7">
        <f>INDEX(products!$A$1:$G$49,MATCH(orders!$D530,products!$A$1:$A$49,0),MATCH(L$1,products!$A$1:$G$1,0))</f>
        <v>8.91</v>
      </c>
      <c r="M530" s="7">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ID]],customers!$A$1:$A$1001,customers!$I$1:$I$1001,,0)</f>
        <v>No</v>
      </c>
    </row>
    <row r="531" spans="1:16" x14ac:dyDescent="0.35">
      <c r="A531" s="2" t="s">
        <v>3481</v>
      </c>
      <c r="B531" s="5">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6">
        <f>INDEX(products!$A$1:$G$49,MATCH(orders!$D531,products!$A$1:$A$49,0),MATCH(K$1,products!$A$1:$G$1,0))</f>
        <v>1</v>
      </c>
      <c r="L531" s="7">
        <f>INDEX(products!$A$1:$G$49,MATCH(orders!$D531,products!$A$1:$A$49,0),MATCH(L$1,products!$A$1:$G$1,0))</f>
        <v>9.9499999999999993</v>
      </c>
      <c r="M531" s="7">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ID]],customers!$A$1:$A$1001,customers!$I$1:$I$1001,,0)</f>
        <v>No</v>
      </c>
    </row>
    <row r="532" spans="1:16" x14ac:dyDescent="0.35">
      <c r="A532" s="2" t="s">
        <v>3487</v>
      </c>
      <c r="B532" s="5">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6">
        <f>INDEX(products!$A$1:$G$49,MATCH(orders!$D532,products!$A$1:$A$49,0),MATCH(K$1,products!$A$1:$G$1,0))</f>
        <v>1</v>
      </c>
      <c r="L532" s="7">
        <f>INDEX(products!$A$1:$G$49,MATCH(orders!$D532,products!$A$1:$A$49,0),MATCH(L$1,products!$A$1:$G$1,0))</f>
        <v>9.9499999999999993</v>
      </c>
      <c r="M532" s="7">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ID]],customers!$A$1:$A$1001,customers!$I$1:$I$1001,,0)</f>
        <v>No</v>
      </c>
    </row>
    <row r="533" spans="1:16" x14ac:dyDescent="0.35">
      <c r="A533" s="2" t="s">
        <v>3493</v>
      </c>
      <c r="B533" s="5">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6">
        <f>INDEX(products!$A$1:$G$49,MATCH(orders!$D533,products!$A$1:$A$49,0),MATCH(K$1,products!$A$1:$G$1,0))</f>
        <v>1</v>
      </c>
      <c r="L533" s="7">
        <f>INDEX(products!$A$1:$G$49,MATCH(orders!$D533,products!$A$1:$A$49,0),MATCH(L$1,products!$A$1:$G$1,0))</f>
        <v>8.9499999999999993</v>
      </c>
      <c r="M533" s="7">
        <f t="shared" si="8"/>
        <v>44.75</v>
      </c>
      <c r="N533" t="str" cm="1">
        <f t="array" ref="N533">_xlfn.IFS(I533="Rob","Robusta",I533="Exc","Excelsa",I533="Ara","Arabica",I533="Lib","Liberica")</f>
        <v>Robusta</v>
      </c>
      <c r="O533" t="str" cm="1">
        <f t="array" ref="O533">_xlfn.IFS(J533="M","Medium",J533="L","Light",J533="D","Dark")</f>
        <v>Dark</v>
      </c>
      <c r="P533" t="str">
        <f>_xlfn.XLOOKUP(Orders[[#This Row],[Customer ID]],customers!$A$1:$A$1001,customers!$I$1:$I$1001,,0)</f>
        <v>No</v>
      </c>
    </row>
    <row r="534" spans="1:16" x14ac:dyDescent="0.35">
      <c r="A534" s="2" t="s">
        <v>3499</v>
      </c>
      <c r="B534" s="5">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6">
        <f>INDEX(products!$A$1:$G$49,MATCH(orders!$D534,products!$A$1:$A$49,0),MATCH(K$1,products!$A$1:$G$1,0))</f>
        <v>0.5</v>
      </c>
      <c r="L534" s="7">
        <f>INDEX(products!$A$1:$G$49,MATCH(orders!$D534,products!$A$1:$A$49,0),MATCH(L$1,products!$A$1:$G$1,0))</f>
        <v>8.25</v>
      </c>
      <c r="M534" s="7">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ID]],customers!$A$1:$A$1001,customers!$I$1:$I$1001,,0)</f>
        <v>Yes</v>
      </c>
    </row>
    <row r="535" spans="1:16" x14ac:dyDescent="0.35">
      <c r="A535" s="2" t="s">
        <v>3505</v>
      </c>
      <c r="B535" s="5">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6">
        <f>INDEX(products!$A$1:$G$49,MATCH(orders!$D535,products!$A$1:$A$49,0),MATCH(K$1,products!$A$1:$G$1,0))</f>
        <v>0.5</v>
      </c>
      <c r="L535" s="7">
        <f>INDEX(products!$A$1:$G$49,MATCH(orders!$D535,products!$A$1:$A$49,0),MATCH(L$1,products!$A$1:$G$1,0))</f>
        <v>5.3699999999999992</v>
      </c>
      <c r="M535" s="7">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ID]],customers!$A$1:$A$1001,customers!$I$1:$I$1001,,0)</f>
        <v>No</v>
      </c>
    </row>
    <row r="536" spans="1:16" x14ac:dyDescent="0.35">
      <c r="A536" s="2" t="s">
        <v>3510</v>
      </c>
      <c r="B536" s="5">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6">
        <f>INDEX(products!$A$1:$G$49,MATCH(orders!$D536,products!$A$1:$A$49,0),MATCH(K$1,products!$A$1:$G$1,0))</f>
        <v>2.5</v>
      </c>
      <c r="L536" s="7">
        <f>INDEX(products!$A$1:$G$49,MATCH(orders!$D536,products!$A$1:$A$49,0),MATCH(L$1,products!$A$1:$G$1,0))</f>
        <v>22.884999999999998</v>
      </c>
      <c r="M536" s="7">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ID]],customers!$A$1:$A$1001,customers!$I$1:$I$1001,,0)</f>
        <v>Yes</v>
      </c>
    </row>
    <row r="537" spans="1:16" x14ac:dyDescent="0.35">
      <c r="A537" s="2" t="s">
        <v>3516</v>
      </c>
      <c r="B537" s="5">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6">
        <f>INDEX(products!$A$1:$G$49,MATCH(orders!$D537,products!$A$1:$A$49,0),MATCH(K$1,products!$A$1:$G$1,0))</f>
        <v>0.2</v>
      </c>
      <c r="L537" s="7">
        <f>INDEX(products!$A$1:$G$49,MATCH(orders!$D537,products!$A$1:$A$49,0),MATCH(L$1,products!$A$1:$G$1,0))</f>
        <v>4.7549999999999999</v>
      </c>
      <c r="M537" s="7">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ID]],customers!$A$1:$A$1001,customers!$I$1:$I$1001,,0)</f>
        <v>No</v>
      </c>
    </row>
    <row r="538" spans="1:16" x14ac:dyDescent="0.35">
      <c r="A538" s="2" t="s">
        <v>3521</v>
      </c>
      <c r="B538" s="5">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6">
        <f>INDEX(products!$A$1:$G$49,MATCH(orders!$D538,products!$A$1:$A$49,0),MATCH(K$1,products!$A$1:$G$1,0))</f>
        <v>0.2</v>
      </c>
      <c r="L538" s="7">
        <f>INDEX(products!$A$1:$G$49,MATCH(orders!$D538,products!$A$1:$A$49,0),MATCH(L$1,products!$A$1:$G$1,0))</f>
        <v>2.6849999999999996</v>
      </c>
      <c r="M538" s="7">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ID]],customers!$A$1:$A$1001,customers!$I$1:$I$1001,,0)</f>
        <v>Yes</v>
      </c>
    </row>
    <row r="539" spans="1:16" x14ac:dyDescent="0.35">
      <c r="A539" s="2" t="s">
        <v>3527</v>
      </c>
      <c r="B539" s="5">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6">
        <f>INDEX(products!$A$1:$G$49,MATCH(orders!$D539,products!$A$1:$A$49,0),MATCH(K$1,products!$A$1:$G$1,0))</f>
        <v>2.5</v>
      </c>
      <c r="L539" s="7">
        <f>INDEX(products!$A$1:$G$49,MATCH(orders!$D539,products!$A$1:$A$49,0),MATCH(L$1,products!$A$1:$G$1,0))</f>
        <v>27.945</v>
      </c>
      <c r="M539" s="7">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ID]],customers!$A$1:$A$1001,customers!$I$1:$I$1001,,0)</f>
        <v>Yes</v>
      </c>
    </row>
    <row r="540" spans="1:16" x14ac:dyDescent="0.35">
      <c r="A540" s="2" t="s">
        <v>3532</v>
      </c>
      <c r="B540" s="5">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6">
        <f>INDEX(products!$A$1:$G$49,MATCH(orders!$D540,products!$A$1:$A$49,0),MATCH(K$1,products!$A$1:$G$1,0))</f>
        <v>0.2</v>
      </c>
      <c r="L540" s="7">
        <f>INDEX(products!$A$1:$G$49,MATCH(orders!$D540,products!$A$1:$A$49,0),MATCH(L$1,products!$A$1:$G$1,0))</f>
        <v>2.6849999999999996</v>
      </c>
      <c r="M540" s="7">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ID]],customers!$A$1:$A$1001,customers!$I$1:$I$1001,,0)</f>
        <v>Yes</v>
      </c>
    </row>
    <row r="541" spans="1:16" x14ac:dyDescent="0.35">
      <c r="A541" s="2" t="s">
        <v>3537</v>
      </c>
      <c r="B541" s="5">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6">
        <f>INDEX(products!$A$1:$G$49,MATCH(orders!$D541,products!$A$1:$A$49,0),MATCH(K$1,products!$A$1:$G$1,0))</f>
        <v>0.5</v>
      </c>
      <c r="L541" s="7">
        <f>INDEX(products!$A$1:$G$49,MATCH(orders!$D541,products!$A$1:$A$49,0),MATCH(L$1,products!$A$1:$G$1,0))</f>
        <v>5.3699999999999992</v>
      </c>
      <c r="M541" s="7">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ID]],customers!$A$1:$A$1001,customers!$I$1:$I$1001,,0)</f>
        <v>No</v>
      </c>
    </row>
    <row r="542" spans="1:16" x14ac:dyDescent="0.35">
      <c r="A542" s="2" t="s">
        <v>3542</v>
      </c>
      <c r="B542" s="5">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6">
        <f>INDEX(products!$A$1:$G$49,MATCH(orders!$D542,products!$A$1:$A$49,0),MATCH(K$1,products!$A$1:$G$1,0))</f>
        <v>1</v>
      </c>
      <c r="L542" s="7">
        <f>INDEX(products!$A$1:$G$49,MATCH(orders!$D542,products!$A$1:$A$49,0),MATCH(L$1,products!$A$1:$G$1,0))</f>
        <v>15.85</v>
      </c>
      <c r="M542" s="7">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ID]],customers!$A$1:$A$1001,customers!$I$1:$I$1001,,0)</f>
        <v>Yes</v>
      </c>
    </row>
    <row r="543" spans="1:16" x14ac:dyDescent="0.35">
      <c r="A543" s="2" t="s">
        <v>3548</v>
      </c>
      <c r="B543" s="5">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6">
        <f>INDEX(products!$A$1:$G$49,MATCH(orders!$D543,products!$A$1:$A$49,0),MATCH(K$1,products!$A$1:$G$1,0))</f>
        <v>2.5</v>
      </c>
      <c r="L543" s="7">
        <f>INDEX(products!$A$1:$G$49,MATCH(orders!$D543,products!$A$1:$A$49,0),MATCH(L$1,products!$A$1:$G$1,0))</f>
        <v>22.884999999999998</v>
      </c>
      <c r="M543" s="7">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ID]],customers!$A$1:$A$1001,customers!$I$1:$I$1001,,0)</f>
        <v>Yes</v>
      </c>
    </row>
    <row r="544" spans="1:16" x14ac:dyDescent="0.35">
      <c r="A544" s="2" t="s">
        <v>3553</v>
      </c>
      <c r="B544" s="5">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6">
        <f>INDEX(products!$A$1:$G$49,MATCH(orders!$D544,products!$A$1:$A$49,0),MATCH(K$1,products!$A$1:$G$1,0))</f>
        <v>2.5</v>
      </c>
      <c r="L544" s="7">
        <f>INDEX(products!$A$1:$G$49,MATCH(orders!$D544,products!$A$1:$A$49,0),MATCH(L$1,products!$A$1:$G$1,0))</f>
        <v>25.874999999999996</v>
      </c>
      <c r="M544" s="7">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ID]],customers!$A$1:$A$1001,customers!$I$1:$I$1001,,0)</f>
        <v>No</v>
      </c>
    </row>
    <row r="545" spans="1:16" x14ac:dyDescent="0.35">
      <c r="A545" s="2" t="s">
        <v>3559</v>
      </c>
      <c r="B545" s="5">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6">
        <f>INDEX(products!$A$1:$G$49,MATCH(orders!$D545,products!$A$1:$A$49,0),MATCH(K$1,products!$A$1:$G$1,0))</f>
        <v>2.5</v>
      </c>
      <c r="L545" s="7">
        <f>INDEX(products!$A$1:$G$49,MATCH(orders!$D545,products!$A$1:$A$49,0),MATCH(L$1,products!$A$1:$G$1,0))</f>
        <v>27.484999999999996</v>
      </c>
      <c r="M545" s="7">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ID]],customers!$A$1:$A$1001,customers!$I$1:$I$1001,,0)</f>
        <v>No</v>
      </c>
    </row>
    <row r="546" spans="1:16" x14ac:dyDescent="0.35">
      <c r="A546" s="2" t="s">
        <v>3565</v>
      </c>
      <c r="B546" s="5">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6">
        <f>INDEX(products!$A$1:$G$49,MATCH(orders!$D546,products!$A$1:$A$49,0),MATCH(K$1,products!$A$1:$G$1,0))</f>
        <v>0.5</v>
      </c>
      <c r="L546" s="7">
        <f>INDEX(products!$A$1:$G$49,MATCH(orders!$D546,products!$A$1:$A$49,0),MATCH(L$1,products!$A$1:$G$1,0))</f>
        <v>7.77</v>
      </c>
      <c r="M546" s="7">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ID]],customers!$A$1:$A$1001,customers!$I$1:$I$1001,,0)</f>
        <v>No</v>
      </c>
    </row>
    <row r="547" spans="1:16" x14ac:dyDescent="0.35">
      <c r="A547" s="2" t="s">
        <v>3571</v>
      </c>
      <c r="B547" s="5">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6">
        <f>INDEX(products!$A$1:$G$49,MATCH(orders!$D547,products!$A$1:$A$49,0),MATCH(K$1,products!$A$1:$G$1,0))</f>
        <v>0.2</v>
      </c>
      <c r="L547" s="7">
        <f>INDEX(products!$A$1:$G$49,MATCH(orders!$D547,products!$A$1:$A$49,0),MATCH(L$1,products!$A$1:$G$1,0))</f>
        <v>3.8849999999999998</v>
      </c>
      <c r="M547" s="7">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ID]],customers!$A$1:$A$1001,customers!$I$1:$I$1001,,0)</f>
        <v>No</v>
      </c>
    </row>
    <row r="548" spans="1:16" x14ac:dyDescent="0.35">
      <c r="A548" s="2" t="s">
        <v>3577</v>
      </c>
      <c r="B548" s="5">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6">
        <f>INDEX(products!$A$1:$G$49,MATCH(orders!$D548,products!$A$1:$A$49,0),MATCH(K$1,products!$A$1:$G$1,0))</f>
        <v>2.5</v>
      </c>
      <c r="L548" s="7">
        <f>INDEX(products!$A$1:$G$49,MATCH(orders!$D548,products!$A$1:$A$49,0),MATCH(L$1,products!$A$1:$G$1,0))</f>
        <v>27.945</v>
      </c>
      <c r="M548" s="7">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ID]],customers!$A$1:$A$1001,customers!$I$1:$I$1001,,0)</f>
        <v>No</v>
      </c>
    </row>
    <row r="549" spans="1:16" x14ac:dyDescent="0.35">
      <c r="A549" s="2" t="s">
        <v>3582</v>
      </c>
      <c r="B549" s="5">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6">
        <f>INDEX(products!$A$1:$G$49,MATCH(orders!$D549,products!$A$1:$A$49,0),MATCH(K$1,products!$A$1:$G$1,0))</f>
        <v>0.2</v>
      </c>
      <c r="L549" s="7">
        <f>INDEX(products!$A$1:$G$49,MATCH(orders!$D549,products!$A$1:$A$49,0),MATCH(L$1,products!$A$1:$G$1,0))</f>
        <v>3.5849999999999995</v>
      </c>
      <c r="M549" s="7">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ID]],customers!$A$1:$A$1001,customers!$I$1:$I$1001,,0)</f>
        <v>Yes</v>
      </c>
    </row>
    <row r="550" spans="1:16" x14ac:dyDescent="0.35">
      <c r="A550" s="2" t="s">
        <v>3587</v>
      </c>
      <c r="B550" s="5">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6">
        <f>INDEX(products!$A$1:$G$49,MATCH(orders!$D550,products!$A$1:$A$49,0),MATCH(K$1,products!$A$1:$G$1,0))</f>
        <v>0.2</v>
      </c>
      <c r="L550" s="7">
        <f>INDEX(products!$A$1:$G$49,MATCH(orders!$D550,products!$A$1:$A$49,0),MATCH(L$1,products!$A$1:$G$1,0))</f>
        <v>4.4550000000000001</v>
      </c>
      <c r="M550" s="7">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ID]],customers!$A$1:$A$1001,customers!$I$1:$I$1001,,0)</f>
        <v>Yes</v>
      </c>
    </row>
    <row r="551" spans="1:16" x14ac:dyDescent="0.35">
      <c r="A551" s="2" t="s">
        <v>3593</v>
      </c>
      <c r="B551" s="5">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6">
        <f>INDEX(products!$A$1:$G$49,MATCH(orders!$D551,products!$A$1:$A$49,0),MATCH(K$1,products!$A$1:$G$1,0))</f>
        <v>0.2</v>
      </c>
      <c r="L551" s="7">
        <f>INDEX(products!$A$1:$G$49,MATCH(orders!$D551,products!$A$1:$A$49,0),MATCH(L$1,products!$A$1:$G$1,0))</f>
        <v>4.4550000000000001</v>
      </c>
      <c r="M551" s="7">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ID]],customers!$A$1:$A$1001,customers!$I$1:$I$1001,,0)</f>
        <v>Yes</v>
      </c>
    </row>
    <row r="552" spans="1:16" x14ac:dyDescent="0.35">
      <c r="A552" s="2" t="s">
        <v>3599</v>
      </c>
      <c r="B552" s="5">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6">
        <f>INDEX(products!$A$1:$G$49,MATCH(orders!$D552,products!$A$1:$A$49,0),MATCH(K$1,products!$A$1:$G$1,0))</f>
        <v>0.2</v>
      </c>
      <c r="L552" s="7">
        <f>INDEX(products!$A$1:$G$49,MATCH(orders!$D552,products!$A$1:$A$49,0),MATCH(L$1,products!$A$1:$G$1,0))</f>
        <v>3.8849999999999998</v>
      </c>
      <c r="M552" s="7">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ID]],customers!$A$1:$A$1001,customers!$I$1:$I$1001,,0)</f>
        <v>Yes</v>
      </c>
    </row>
    <row r="553" spans="1:16" x14ac:dyDescent="0.35">
      <c r="A553" s="2" t="s">
        <v>3605</v>
      </c>
      <c r="B553" s="5">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6">
        <f>INDEX(products!$A$1:$G$49,MATCH(orders!$D553,products!$A$1:$A$49,0),MATCH(K$1,products!$A$1:$G$1,0))</f>
        <v>0.2</v>
      </c>
      <c r="L553" s="7">
        <f>INDEX(products!$A$1:$G$49,MATCH(orders!$D553,products!$A$1:$A$49,0),MATCH(L$1,products!$A$1:$G$1,0))</f>
        <v>3.645</v>
      </c>
      <c r="M553" s="7">
        <f t="shared" si="8"/>
        <v>7.29</v>
      </c>
      <c r="N553" t="str" cm="1">
        <f t="array" ref="N553">_xlfn.IFS(I553="Rob","Robusta",I553="Exc","Excelsa",I553="Ara","Arabica",I553="Lib","Liberica")</f>
        <v>Excelsa</v>
      </c>
      <c r="O553" t="str" cm="1">
        <f t="array" ref="O553">_xlfn.IFS(J553="M","Medium",J553="L","Light",J553="D","Dark")</f>
        <v>Dark</v>
      </c>
      <c r="P553" t="str">
        <f>_xlfn.XLOOKUP(Orders[[#This Row],[Customer ID]],customers!$A$1:$A$1001,customers!$I$1:$I$1001,,0)</f>
        <v>No</v>
      </c>
    </row>
    <row r="554" spans="1:16" x14ac:dyDescent="0.35">
      <c r="A554" s="2" t="s">
        <v>3611</v>
      </c>
      <c r="B554" s="5">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6">
        <f>INDEX(products!$A$1:$G$49,MATCH(orders!$D554,products!$A$1:$A$49,0),MATCH(K$1,products!$A$1:$G$1,0))</f>
        <v>0.2</v>
      </c>
      <c r="L554" s="7">
        <f>INDEX(products!$A$1:$G$49,MATCH(orders!$D554,products!$A$1:$A$49,0),MATCH(L$1,products!$A$1:$G$1,0))</f>
        <v>4.4550000000000001</v>
      </c>
      <c r="M554" s="7">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ID]],customers!$A$1:$A$1001,customers!$I$1:$I$1001,,0)</f>
        <v>Yes</v>
      </c>
    </row>
    <row r="555" spans="1:16" x14ac:dyDescent="0.35">
      <c r="A555" s="2" t="s">
        <v>3617</v>
      </c>
      <c r="B555" s="5">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6">
        <f>INDEX(products!$A$1:$G$49,MATCH(orders!$D555,products!$A$1:$A$49,0),MATCH(K$1,products!$A$1:$G$1,0))</f>
        <v>1</v>
      </c>
      <c r="L555" s="7">
        <f>INDEX(products!$A$1:$G$49,MATCH(orders!$D555,products!$A$1:$A$49,0),MATCH(L$1,products!$A$1:$G$1,0))</f>
        <v>13.75</v>
      </c>
      <c r="M555" s="7">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ID]],customers!$A$1:$A$1001,customers!$I$1:$I$1001,,0)</f>
        <v>No</v>
      </c>
    </row>
    <row r="556" spans="1:16" x14ac:dyDescent="0.35">
      <c r="A556" s="2" t="s">
        <v>3622</v>
      </c>
      <c r="B556" s="5">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6">
        <f>INDEX(products!$A$1:$G$49,MATCH(orders!$D556,products!$A$1:$A$49,0),MATCH(K$1,products!$A$1:$G$1,0))</f>
        <v>2.5</v>
      </c>
      <c r="L556" s="7">
        <f>INDEX(products!$A$1:$G$49,MATCH(orders!$D556,products!$A$1:$A$49,0),MATCH(L$1,products!$A$1:$G$1,0))</f>
        <v>27.484999999999996</v>
      </c>
      <c r="M556" s="7">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ID]],customers!$A$1:$A$1001,customers!$I$1:$I$1001,,0)</f>
        <v>Yes</v>
      </c>
    </row>
    <row r="557" spans="1:16" x14ac:dyDescent="0.35">
      <c r="A557" s="2" t="s">
        <v>3627</v>
      </c>
      <c r="B557" s="5">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6">
        <f>INDEX(products!$A$1:$G$49,MATCH(orders!$D557,products!$A$1:$A$49,0),MATCH(K$1,products!$A$1:$G$1,0))</f>
        <v>1</v>
      </c>
      <c r="L557" s="7">
        <f>INDEX(products!$A$1:$G$49,MATCH(orders!$D557,products!$A$1:$A$49,0),MATCH(L$1,products!$A$1:$G$1,0))</f>
        <v>13.75</v>
      </c>
      <c r="M557" s="7">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ID]],customers!$A$1:$A$1001,customers!$I$1:$I$1001,,0)</f>
        <v>No</v>
      </c>
    </row>
    <row r="558" spans="1:16" x14ac:dyDescent="0.35">
      <c r="A558" s="2" t="s">
        <v>3633</v>
      </c>
      <c r="B558" s="5">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6">
        <f>INDEX(products!$A$1:$G$49,MATCH(orders!$D558,products!$A$1:$A$49,0),MATCH(K$1,products!$A$1:$G$1,0))</f>
        <v>0.2</v>
      </c>
      <c r="L558" s="7">
        <f>INDEX(products!$A$1:$G$49,MATCH(orders!$D558,products!$A$1:$A$49,0),MATCH(L$1,products!$A$1:$G$1,0))</f>
        <v>4.3650000000000002</v>
      </c>
      <c r="M558" s="7">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ID]],customers!$A$1:$A$1001,customers!$I$1:$I$1001,,0)</f>
        <v>Yes</v>
      </c>
    </row>
    <row r="559" spans="1:16" x14ac:dyDescent="0.35">
      <c r="A559" s="2" t="s">
        <v>3638</v>
      </c>
      <c r="B559" s="5">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6">
        <f>INDEX(products!$A$1:$G$49,MATCH(orders!$D559,products!$A$1:$A$49,0),MATCH(K$1,products!$A$1:$G$1,0))</f>
        <v>1</v>
      </c>
      <c r="L559" s="7">
        <f>INDEX(products!$A$1:$G$49,MATCH(orders!$D559,products!$A$1:$A$49,0),MATCH(L$1,products!$A$1:$G$1,0))</f>
        <v>14.85</v>
      </c>
      <c r="M559" s="7">
        <f t="shared" si="8"/>
        <v>59.4</v>
      </c>
      <c r="N559" t="str" cm="1">
        <f t="array" ref="N559">_xlfn.IFS(I559="Rob","Robusta",I559="Exc","Excelsa",I559="Ara","Arabica",I559="Lib","Liberica")</f>
        <v>Excelsa</v>
      </c>
      <c r="O559" t="str" cm="1">
        <f t="array" ref="O559">_xlfn.IFS(J559="M","Medium",J559="L","Light",J559="D","Dark")</f>
        <v>Light</v>
      </c>
      <c r="P559" t="str">
        <f>_xlfn.XLOOKUP(Orders[[#This Row],[Customer ID]],customers!$A$1:$A$1001,customers!$I$1:$I$1001,,0)</f>
        <v>Yes</v>
      </c>
    </row>
    <row r="560" spans="1:16" x14ac:dyDescent="0.35">
      <c r="A560" s="2" t="s">
        <v>3643</v>
      </c>
      <c r="B560" s="5">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6">
        <f>INDEX(products!$A$1:$G$49,MATCH(orders!$D560,products!$A$1:$A$49,0),MATCH(K$1,products!$A$1:$G$1,0))</f>
        <v>0.2</v>
      </c>
      <c r="L560" s="7">
        <f>INDEX(products!$A$1:$G$49,MATCH(orders!$D560,products!$A$1:$A$49,0),MATCH(L$1,products!$A$1:$G$1,0))</f>
        <v>3.8849999999999998</v>
      </c>
      <c r="M560" s="7">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ID]],customers!$A$1:$A$1001,customers!$I$1:$I$1001,,0)</f>
        <v>Yes</v>
      </c>
    </row>
    <row r="561" spans="1:16" x14ac:dyDescent="0.35">
      <c r="A561" s="2" t="s">
        <v>3648</v>
      </c>
      <c r="B561" s="5">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6">
        <f>INDEX(products!$A$1:$G$49,MATCH(orders!$D561,products!$A$1:$A$49,0),MATCH(K$1,products!$A$1:$G$1,0))</f>
        <v>1</v>
      </c>
      <c r="L561" s="7">
        <f>INDEX(products!$A$1:$G$49,MATCH(orders!$D561,products!$A$1:$A$49,0),MATCH(L$1,products!$A$1:$G$1,0))</f>
        <v>12.95</v>
      </c>
      <c r="M561" s="7">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ID]],customers!$A$1:$A$1001,customers!$I$1:$I$1001,,0)</f>
        <v>Yes</v>
      </c>
    </row>
    <row r="562" spans="1:16" x14ac:dyDescent="0.35">
      <c r="A562" s="2" t="s">
        <v>3654</v>
      </c>
      <c r="B562" s="5">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6">
        <f>INDEX(products!$A$1:$G$49,MATCH(orders!$D562,products!$A$1:$A$49,0),MATCH(K$1,products!$A$1:$G$1,0))</f>
        <v>2.5</v>
      </c>
      <c r="L562" s="7">
        <f>INDEX(products!$A$1:$G$49,MATCH(orders!$D562,products!$A$1:$A$49,0),MATCH(L$1,products!$A$1:$G$1,0))</f>
        <v>31.624999999999996</v>
      </c>
      <c r="M562" s="7">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ID]],customers!$A$1:$A$1001,customers!$I$1:$I$1001,,0)</f>
        <v>Yes</v>
      </c>
    </row>
    <row r="563" spans="1:16" x14ac:dyDescent="0.35">
      <c r="A563" s="2" t="s">
        <v>3659</v>
      </c>
      <c r="B563" s="5">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6">
        <f>INDEX(products!$A$1:$G$49,MATCH(orders!$D563,products!$A$1:$A$49,0),MATCH(K$1,products!$A$1:$G$1,0))</f>
        <v>0.2</v>
      </c>
      <c r="L563" s="7">
        <f>INDEX(products!$A$1:$G$49,MATCH(orders!$D563,products!$A$1:$A$49,0),MATCH(L$1,products!$A$1:$G$1,0))</f>
        <v>2.9849999999999999</v>
      </c>
      <c r="M563" s="7">
        <f t="shared" si="8"/>
        <v>17.91</v>
      </c>
      <c r="N563" t="str" cm="1">
        <f t="array" ref="N563">_xlfn.IFS(I563="Rob","Robusta",I563="Exc","Excelsa",I563="Ara","Arabica",I563="Lib","Liberica")</f>
        <v>Arabica</v>
      </c>
      <c r="O563" t="str" cm="1">
        <f t="array" ref="O563">_xlfn.IFS(J563="M","Medium",J563="L","Light",J563="D","Dark")</f>
        <v>Dark</v>
      </c>
      <c r="P563" t="str">
        <f>_xlfn.XLOOKUP(Orders[[#This Row],[Customer ID]],customers!$A$1:$A$1001,customers!$I$1:$I$1001,,0)</f>
        <v>Yes</v>
      </c>
    </row>
    <row r="564" spans="1:16" x14ac:dyDescent="0.35">
      <c r="A564" s="2" t="s">
        <v>3665</v>
      </c>
      <c r="B564" s="5">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6">
        <f>INDEX(products!$A$1:$G$49,MATCH(orders!$D564,products!$A$1:$A$49,0),MATCH(K$1,products!$A$1:$G$1,0))</f>
        <v>0.2</v>
      </c>
      <c r="L564" s="7">
        <f>INDEX(products!$A$1:$G$49,MATCH(orders!$D564,products!$A$1:$A$49,0),MATCH(L$1,products!$A$1:$G$1,0))</f>
        <v>4.7549999999999999</v>
      </c>
      <c r="M564" s="7">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ID]],customers!$A$1:$A$1001,customers!$I$1:$I$1001,,0)</f>
        <v>No</v>
      </c>
    </row>
    <row r="565" spans="1:16" x14ac:dyDescent="0.35">
      <c r="A565" s="2" t="s">
        <v>3671</v>
      </c>
      <c r="B565" s="5">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6">
        <f>INDEX(products!$A$1:$G$49,MATCH(orders!$D565,products!$A$1:$A$49,0),MATCH(K$1,products!$A$1:$G$1,0))</f>
        <v>1</v>
      </c>
      <c r="L565" s="7">
        <f>INDEX(products!$A$1:$G$49,MATCH(orders!$D565,products!$A$1:$A$49,0),MATCH(L$1,products!$A$1:$G$1,0))</f>
        <v>13.75</v>
      </c>
      <c r="M565" s="7">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ID]],customers!$A$1:$A$1001,customers!$I$1:$I$1001,,0)</f>
        <v>No</v>
      </c>
    </row>
    <row r="566" spans="1:16" x14ac:dyDescent="0.35">
      <c r="A566" s="2" t="s">
        <v>3677</v>
      </c>
      <c r="B566" s="5">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6">
        <f>INDEX(products!$A$1:$G$49,MATCH(orders!$D566,products!$A$1:$A$49,0),MATCH(K$1,products!$A$1:$G$1,0))</f>
        <v>0.5</v>
      </c>
      <c r="L566" s="7">
        <f>INDEX(products!$A$1:$G$49,MATCH(orders!$D566,products!$A$1:$A$49,0),MATCH(L$1,products!$A$1:$G$1,0))</f>
        <v>7.169999999999999</v>
      </c>
      <c r="M566" s="7">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ID]],customers!$A$1:$A$1001,customers!$I$1:$I$1001,,0)</f>
        <v>No</v>
      </c>
    </row>
    <row r="567" spans="1:16" x14ac:dyDescent="0.35">
      <c r="A567" s="2" t="s">
        <v>3683</v>
      </c>
      <c r="B567" s="5">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6">
        <f>INDEX(products!$A$1:$G$49,MATCH(orders!$D567,products!$A$1:$A$49,0),MATCH(K$1,products!$A$1:$G$1,0))</f>
        <v>2.5</v>
      </c>
      <c r="L567" s="7">
        <f>INDEX(products!$A$1:$G$49,MATCH(orders!$D567,products!$A$1:$A$49,0),MATCH(L$1,products!$A$1:$G$1,0))</f>
        <v>20.584999999999997</v>
      </c>
      <c r="M567" s="7">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ID]],customers!$A$1:$A$1001,customers!$I$1:$I$1001,,0)</f>
        <v>No</v>
      </c>
    </row>
    <row r="568" spans="1:16" x14ac:dyDescent="0.35">
      <c r="A568" s="2" t="s">
        <v>3689</v>
      </c>
      <c r="B568" s="5">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6">
        <f>INDEX(products!$A$1:$G$49,MATCH(orders!$D568,products!$A$1:$A$49,0),MATCH(K$1,products!$A$1:$G$1,0))</f>
        <v>0.2</v>
      </c>
      <c r="L568" s="7">
        <f>INDEX(products!$A$1:$G$49,MATCH(orders!$D568,products!$A$1:$A$49,0),MATCH(L$1,products!$A$1:$G$1,0))</f>
        <v>3.375</v>
      </c>
      <c r="M568" s="7">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ID]],customers!$A$1:$A$1001,customers!$I$1:$I$1001,,0)</f>
        <v>Yes</v>
      </c>
    </row>
    <row r="569" spans="1:16" x14ac:dyDescent="0.35">
      <c r="A569" s="2" t="s">
        <v>3695</v>
      </c>
      <c r="B569" s="5">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6">
        <f>INDEX(products!$A$1:$G$49,MATCH(orders!$D569,products!$A$1:$A$49,0),MATCH(K$1,products!$A$1:$G$1,0))</f>
        <v>2.5</v>
      </c>
      <c r="L569" s="7">
        <f>INDEX(products!$A$1:$G$49,MATCH(orders!$D569,products!$A$1:$A$49,0),MATCH(L$1,products!$A$1:$G$1,0))</f>
        <v>27.484999999999996</v>
      </c>
      <c r="M569" s="7">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ID]],customers!$A$1:$A$1001,customers!$I$1:$I$1001,,0)</f>
        <v>No</v>
      </c>
    </row>
    <row r="570" spans="1:16" x14ac:dyDescent="0.35">
      <c r="A570" s="2" t="s">
        <v>3700</v>
      </c>
      <c r="B570" s="5">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6">
        <f>INDEX(products!$A$1:$G$49,MATCH(orders!$D570,products!$A$1:$A$49,0),MATCH(K$1,products!$A$1:$G$1,0))</f>
        <v>0.2</v>
      </c>
      <c r="L570" s="7">
        <f>INDEX(products!$A$1:$G$49,MATCH(orders!$D570,products!$A$1:$A$49,0),MATCH(L$1,products!$A$1:$G$1,0))</f>
        <v>4.7549999999999999</v>
      </c>
      <c r="M570" s="7">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ID]],customers!$A$1:$A$1001,customers!$I$1:$I$1001,,0)</f>
        <v>Yes</v>
      </c>
    </row>
    <row r="571" spans="1:16" x14ac:dyDescent="0.35">
      <c r="A571" s="2" t="s">
        <v>3706</v>
      </c>
      <c r="B571" s="5">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6">
        <f>INDEX(products!$A$1:$G$49,MATCH(orders!$D571,products!$A$1:$A$49,0),MATCH(K$1,products!$A$1:$G$1,0))</f>
        <v>2.5</v>
      </c>
      <c r="L571" s="7">
        <f>INDEX(products!$A$1:$G$49,MATCH(orders!$D571,products!$A$1:$A$49,0),MATCH(L$1,products!$A$1:$G$1,0))</f>
        <v>22.884999999999998</v>
      </c>
      <c r="M571" s="7">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ID]],customers!$A$1:$A$1001,customers!$I$1:$I$1001,,0)</f>
        <v>No</v>
      </c>
    </row>
    <row r="572" spans="1:16" x14ac:dyDescent="0.35">
      <c r="A572" s="2" t="s">
        <v>3712</v>
      </c>
      <c r="B572" s="5">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6">
        <f>INDEX(products!$A$1:$G$49,MATCH(orders!$D572,products!$A$1:$A$49,0),MATCH(K$1,products!$A$1:$G$1,0))</f>
        <v>0.5</v>
      </c>
      <c r="L572" s="7">
        <f>INDEX(products!$A$1:$G$49,MATCH(orders!$D572,products!$A$1:$A$49,0),MATCH(L$1,products!$A$1:$G$1,0))</f>
        <v>6.75</v>
      </c>
      <c r="M572" s="7">
        <f t="shared" si="8"/>
        <v>27</v>
      </c>
      <c r="N572" t="str" cm="1">
        <f t="array" ref="N572">_xlfn.IFS(I572="Rob","Robusta",I572="Exc","Excelsa",I572="Ara","Arabica",I572="Lib","Liberica")</f>
        <v>Arabica</v>
      </c>
      <c r="O572" t="str" cm="1">
        <f t="array" ref="O572">_xlfn.IFS(J572="M","Medium",J572="L","Light",J572="D","Dark")</f>
        <v>Medium</v>
      </c>
      <c r="P572" t="str">
        <f>_xlfn.XLOOKUP(Orders[[#This Row],[Customer ID]],customers!$A$1:$A$1001,customers!$I$1:$I$1001,,0)</f>
        <v>No</v>
      </c>
    </row>
    <row r="573" spans="1:16" x14ac:dyDescent="0.35">
      <c r="A573" s="2" t="s">
        <v>3718</v>
      </c>
      <c r="B573" s="5">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6">
        <f>INDEX(products!$A$1:$G$49,MATCH(orders!$D573,products!$A$1:$A$49,0),MATCH(K$1,products!$A$1:$G$1,0))</f>
        <v>0.5</v>
      </c>
      <c r="L573" s="7">
        <f>INDEX(products!$A$1:$G$49,MATCH(orders!$D573,products!$A$1:$A$49,0),MATCH(L$1,products!$A$1:$G$1,0))</f>
        <v>8.91</v>
      </c>
      <c r="M573" s="7">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ID]],customers!$A$1:$A$1001,customers!$I$1:$I$1001,,0)</f>
        <v>No</v>
      </c>
    </row>
    <row r="574" spans="1:16" x14ac:dyDescent="0.35">
      <c r="A574" s="2" t="s">
        <v>3724</v>
      </c>
      <c r="B574" s="5">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6">
        <f>INDEX(products!$A$1:$G$49,MATCH(orders!$D574,products!$A$1:$A$49,0),MATCH(K$1,products!$A$1:$G$1,0))</f>
        <v>0.2</v>
      </c>
      <c r="L574" s="7">
        <f>INDEX(products!$A$1:$G$49,MATCH(orders!$D574,products!$A$1:$A$49,0),MATCH(L$1,products!$A$1:$G$1,0))</f>
        <v>2.9849999999999999</v>
      </c>
      <c r="M574" s="7">
        <f t="shared" si="8"/>
        <v>5.97</v>
      </c>
      <c r="N574" t="str" cm="1">
        <f t="array" ref="N574">_xlfn.IFS(I574="Rob","Robusta",I574="Exc","Excelsa",I574="Ara","Arabica",I574="Lib","Liberica")</f>
        <v>Arabica</v>
      </c>
      <c r="O574" t="str" cm="1">
        <f t="array" ref="O574">_xlfn.IFS(J574="M","Medium",J574="L","Light",J574="D","Dark")</f>
        <v>Dark</v>
      </c>
      <c r="P574" t="str">
        <f>_xlfn.XLOOKUP(Orders[[#This Row],[Customer ID]],customers!$A$1:$A$1001,customers!$I$1:$I$1001,,0)</f>
        <v>Yes</v>
      </c>
    </row>
    <row r="575" spans="1:16" x14ac:dyDescent="0.35">
      <c r="A575" s="2" t="s">
        <v>3728</v>
      </c>
      <c r="B575" s="5">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6">
        <f>INDEX(products!$A$1:$G$49,MATCH(orders!$D575,products!$A$1:$A$49,0),MATCH(K$1,products!$A$1:$G$1,0))</f>
        <v>1</v>
      </c>
      <c r="L575" s="7">
        <f>INDEX(products!$A$1:$G$49,MATCH(orders!$D575,products!$A$1:$A$49,0),MATCH(L$1,products!$A$1:$G$1,0))</f>
        <v>11.25</v>
      </c>
      <c r="M575" s="7">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ID]],customers!$A$1:$A$1001,customers!$I$1:$I$1001,,0)</f>
        <v>No</v>
      </c>
    </row>
    <row r="576" spans="1:16" x14ac:dyDescent="0.35">
      <c r="A576" s="2" t="s">
        <v>3734</v>
      </c>
      <c r="B576" s="5">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6">
        <f>INDEX(products!$A$1:$G$49,MATCH(orders!$D576,products!$A$1:$A$49,0),MATCH(K$1,products!$A$1:$G$1,0))</f>
        <v>0.2</v>
      </c>
      <c r="L576" s="7">
        <f>INDEX(products!$A$1:$G$49,MATCH(orders!$D576,products!$A$1:$A$49,0),MATCH(L$1,products!$A$1:$G$1,0))</f>
        <v>3.5849999999999995</v>
      </c>
      <c r="M576" s="7">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ID]],customers!$A$1:$A$1001,customers!$I$1:$I$1001,,0)</f>
        <v>Yes</v>
      </c>
    </row>
    <row r="577" spans="1:16" x14ac:dyDescent="0.35">
      <c r="A577" s="2" t="s">
        <v>3739</v>
      </c>
      <c r="B577" s="5">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6">
        <f>INDEX(products!$A$1:$G$49,MATCH(orders!$D577,products!$A$1:$A$49,0),MATCH(K$1,products!$A$1:$G$1,0))</f>
        <v>2.5</v>
      </c>
      <c r="L577" s="7">
        <f>INDEX(products!$A$1:$G$49,MATCH(orders!$D577,products!$A$1:$A$49,0),MATCH(L$1,products!$A$1:$G$1,0))</f>
        <v>33.464999999999996</v>
      </c>
      <c r="M577" s="7">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ID]],customers!$A$1:$A$1001,customers!$I$1:$I$1001,,0)</f>
        <v>No</v>
      </c>
    </row>
    <row r="578" spans="1:16" x14ac:dyDescent="0.35">
      <c r="A578" s="2" t="s">
        <v>3745</v>
      </c>
      <c r="B578" s="5">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6">
        <f>INDEX(products!$A$1:$G$49,MATCH(orders!$D578,products!$A$1:$A$49,0),MATCH(K$1,products!$A$1:$G$1,0))</f>
        <v>0.2</v>
      </c>
      <c r="L578" s="7">
        <f>INDEX(products!$A$1:$G$49,MATCH(orders!$D578,products!$A$1:$A$49,0),MATCH(L$1,products!$A$1:$G$1,0))</f>
        <v>2.9849999999999999</v>
      </c>
      <c r="M578" s="7">
        <f t="shared" si="8"/>
        <v>17.91</v>
      </c>
      <c r="N578" t="str" cm="1">
        <f t="array" ref="N578">_xlfn.IFS(I578="Rob","Robusta",I578="Exc","Excelsa",I578="Ara","Arabica",I578="Lib","Liberica")</f>
        <v>Arabica</v>
      </c>
      <c r="O578" t="str" cm="1">
        <f t="array" ref="O578">_xlfn.IFS(J578="M","Medium",J578="L","Light",J578="D","Dark")</f>
        <v>Dark</v>
      </c>
      <c r="P578" t="str">
        <f>_xlfn.XLOOKUP(Orders[[#This Row],[Customer ID]],customers!$A$1:$A$1001,customers!$I$1:$I$1001,,0)</f>
        <v>No</v>
      </c>
    </row>
    <row r="579" spans="1:16" x14ac:dyDescent="0.35">
      <c r="A579" s="2" t="s">
        <v>3751</v>
      </c>
      <c r="B579" s="5">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6">
        <f>INDEX(products!$A$1:$G$49,MATCH(orders!$D579,products!$A$1:$A$49,0),MATCH(K$1,products!$A$1:$G$1,0))</f>
        <v>1</v>
      </c>
      <c r="L579" s="7">
        <f>INDEX(products!$A$1:$G$49,MATCH(orders!$D579,products!$A$1:$A$49,0),MATCH(L$1,products!$A$1:$G$1,0))</f>
        <v>14.55</v>
      </c>
      <c r="M579" s="7">
        <f t="shared" ref="M579:M642" si="9">PRODUCT(L579,E579)</f>
        <v>58.2</v>
      </c>
      <c r="N579" t="str" cm="1">
        <f t="array" ref="N579">_xlfn.IFS(I579="Rob","Robusta",I579="Exc","Excelsa",I579="Ara","Arabica",I579="Lib","Liberica")</f>
        <v>Liberica</v>
      </c>
      <c r="O579" t="str" cm="1">
        <f t="array" ref="O579">_xlfn.IFS(J579="M","Medium",J579="L","Light",J579="D","Dark")</f>
        <v>Medium</v>
      </c>
      <c r="P579" t="str">
        <f>_xlfn.XLOOKUP(Orders[[#This Row],[Customer ID]],customers!$A$1:$A$1001,customers!$I$1:$I$1001,,0)</f>
        <v>No</v>
      </c>
    </row>
    <row r="580" spans="1:16" x14ac:dyDescent="0.35">
      <c r="A580" s="2" t="s">
        <v>3756</v>
      </c>
      <c r="B580" s="5">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6">
        <f>INDEX(products!$A$1:$G$49,MATCH(orders!$D580,products!$A$1:$A$49,0),MATCH(K$1,products!$A$1:$G$1,0))</f>
        <v>0.2</v>
      </c>
      <c r="L580" s="7">
        <f>INDEX(products!$A$1:$G$49,MATCH(orders!$D580,products!$A$1:$A$49,0),MATCH(L$1,products!$A$1:$G$1,0))</f>
        <v>4.4550000000000001</v>
      </c>
      <c r="M580" s="7">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ID]],customers!$A$1:$A$1001,customers!$I$1:$I$1001,,0)</f>
        <v>No</v>
      </c>
    </row>
    <row r="581" spans="1:16" x14ac:dyDescent="0.35">
      <c r="A581" s="2" t="s">
        <v>3756</v>
      </c>
      <c r="B581" s="5">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6">
        <f>INDEX(products!$A$1:$G$49,MATCH(orders!$D581,products!$A$1:$A$49,0),MATCH(K$1,products!$A$1:$G$1,0))</f>
        <v>0.5</v>
      </c>
      <c r="L581" s="7">
        <f>INDEX(products!$A$1:$G$49,MATCH(orders!$D581,products!$A$1:$A$49,0),MATCH(L$1,products!$A$1:$G$1,0))</f>
        <v>6.75</v>
      </c>
      <c r="M581" s="7">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ID]],customers!$A$1:$A$1001,customers!$I$1:$I$1001,,0)</f>
        <v>No</v>
      </c>
    </row>
    <row r="582" spans="1:16" x14ac:dyDescent="0.35">
      <c r="A582" s="2" t="s">
        <v>3767</v>
      </c>
      <c r="B582" s="5">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6">
        <f>INDEX(products!$A$1:$G$49,MATCH(orders!$D582,products!$A$1:$A$49,0),MATCH(K$1,products!$A$1:$G$1,0))</f>
        <v>1</v>
      </c>
      <c r="L582" s="7">
        <f>INDEX(products!$A$1:$G$49,MATCH(orders!$D582,products!$A$1:$A$49,0),MATCH(L$1,products!$A$1:$G$1,0))</f>
        <v>14.85</v>
      </c>
      <c r="M582" s="7">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ID]],customers!$A$1:$A$1001,customers!$I$1:$I$1001,,0)</f>
        <v>Yes</v>
      </c>
    </row>
    <row r="583" spans="1:16" x14ac:dyDescent="0.35">
      <c r="A583" s="2" t="s">
        <v>3773</v>
      </c>
      <c r="B583" s="5">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6">
        <f>INDEX(products!$A$1:$G$49,MATCH(orders!$D583,products!$A$1:$A$49,0),MATCH(K$1,products!$A$1:$G$1,0))</f>
        <v>0.5</v>
      </c>
      <c r="L583" s="7">
        <f>INDEX(products!$A$1:$G$49,MATCH(orders!$D583,products!$A$1:$A$49,0),MATCH(L$1,products!$A$1:$G$1,0))</f>
        <v>8.91</v>
      </c>
      <c r="M583" s="7">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ID]],customers!$A$1:$A$1001,customers!$I$1:$I$1001,,0)</f>
        <v>Yes</v>
      </c>
    </row>
    <row r="584" spans="1:16" x14ac:dyDescent="0.35">
      <c r="A584" s="2" t="s">
        <v>3778</v>
      </c>
      <c r="B584" s="5">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6">
        <f>INDEX(products!$A$1:$G$49,MATCH(orders!$D584,products!$A$1:$A$49,0),MATCH(K$1,products!$A$1:$G$1,0))</f>
        <v>1</v>
      </c>
      <c r="L584" s="7">
        <f>INDEX(products!$A$1:$G$49,MATCH(orders!$D584,products!$A$1:$A$49,0),MATCH(L$1,products!$A$1:$G$1,0))</f>
        <v>12.15</v>
      </c>
      <c r="M584" s="7">
        <f t="shared" si="9"/>
        <v>60.75</v>
      </c>
      <c r="N584" t="str" cm="1">
        <f t="array" ref="N584">_xlfn.IFS(I584="Rob","Robusta",I584="Exc","Excelsa",I584="Ara","Arabica",I584="Lib","Liberica")</f>
        <v>Excelsa</v>
      </c>
      <c r="O584" t="str" cm="1">
        <f t="array" ref="O584">_xlfn.IFS(J584="M","Medium",J584="L","Light",J584="D","Dark")</f>
        <v>Dark</v>
      </c>
      <c r="P584" t="str">
        <f>_xlfn.XLOOKUP(Orders[[#This Row],[Customer ID]],customers!$A$1:$A$1001,customers!$I$1:$I$1001,,0)</f>
        <v>No</v>
      </c>
    </row>
    <row r="585" spans="1:16" x14ac:dyDescent="0.35">
      <c r="A585" s="2" t="s">
        <v>3784</v>
      </c>
      <c r="B585" s="5">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6">
        <f>INDEX(products!$A$1:$G$49,MATCH(orders!$D585,products!$A$1:$A$49,0),MATCH(K$1,products!$A$1:$G$1,0))</f>
        <v>0.2</v>
      </c>
      <c r="L585" s="7">
        <f>INDEX(products!$A$1:$G$49,MATCH(orders!$D585,products!$A$1:$A$49,0),MATCH(L$1,products!$A$1:$G$1,0))</f>
        <v>3.5849999999999995</v>
      </c>
      <c r="M585" s="7">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ID]],customers!$A$1:$A$1001,customers!$I$1:$I$1001,,0)</f>
        <v>Yes</v>
      </c>
    </row>
    <row r="586" spans="1:16" x14ac:dyDescent="0.35">
      <c r="A586" s="2" t="s">
        <v>3790</v>
      </c>
      <c r="B586" s="5">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6">
        <f>INDEX(products!$A$1:$G$49,MATCH(orders!$D586,products!$A$1:$A$49,0),MATCH(K$1,products!$A$1:$G$1,0))</f>
        <v>0.2</v>
      </c>
      <c r="L586" s="7">
        <f>INDEX(products!$A$1:$G$49,MATCH(orders!$D586,products!$A$1:$A$49,0),MATCH(L$1,products!$A$1:$G$1,0))</f>
        <v>3.5849999999999995</v>
      </c>
      <c r="M586" s="7">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ID]],customers!$A$1:$A$1001,customers!$I$1:$I$1001,,0)</f>
        <v>No</v>
      </c>
    </row>
    <row r="587" spans="1:16" x14ac:dyDescent="0.35">
      <c r="A587" s="2" t="s">
        <v>3796</v>
      </c>
      <c r="B587" s="5">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6">
        <f>INDEX(products!$A$1:$G$49,MATCH(orders!$D587,products!$A$1:$A$49,0),MATCH(K$1,products!$A$1:$G$1,0))</f>
        <v>0.5</v>
      </c>
      <c r="L587" s="7">
        <f>INDEX(products!$A$1:$G$49,MATCH(orders!$D587,products!$A$1:$A$49,0),MATCH(L$1,products!$A$1:$G$1,0))</f>
        <v>8.25</v>
      </c>
      <c r="M587" s="7">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ID]],customers!$A$1:$A$1001,customers!$I$1:$I$1001,,0)</f>
        <v>Yes</v>
      </c>
    </row>
    <row r="588" spans="1:16" x14ac:dyDescent="0.35">
      <c r="A588" s="2" t="s">
        <v>3802</v>
      </c>
      <c r="B588" s="5">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6">
        <f>INDEX(products!$A$1:$G$49,MATCH(orders!$D588,products!$A$1:$A$49,0),MATCH(K$1,products!$A$1:$G$1,0))</f>
        <v>2.5</v>
      </c>
      <c r="L588" s="7">
        <f>INDEX(products!$A$1:$G$49,MATCH(orders!$D588,products!$A$1:$A$49,0),MATCH(L$1,products!$A$1:$G$1,0))</f>
        <v>27.484999999999996</v>
      </c>
      <c r="M588" s="7">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ID]],customers!$A$1:$A$1001,customers!$I$1:$I$1001,,0)</f>
        <v>No</v>
      </c>
    </row>
    <row r="589" spans="1:16" x14ac:dyDescent="0.35">
      <c r="A589" s="2" t="s">
        <v>3807</v>
      </c>
      <c r="B589" s="5">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6">
        <f>INDEX(products!$A$1:$G$49,MATCH(orders!$D589,products!$A$1:$A$49,0),MATCH(K$1,products!$A$1:$G$1,0))</f>
        <v>0.5</v>
      </c>
      <c r="L589" s="7">
        <f>INDEX(products!$A$1:$G$49,MATCH(orders!$D589,products!$A$1:$A$49,0),MATCH(L$1,products!$A$1:$G$1,0))</f>
        <v>7.77</v>
      </c>
      <c r="M589" s="7">
        <f t="shared" si="9"/>
        <v>7.77</v>
      </c>
      <c r="N589" t="str" cm="1">
        <f t="array" ref="N589">_xlfn.IFS(I589="Rob","Robusta",I589="Exc","Excelsa",I589="Ara","Arabica",I589="Lib","Liberica")</f>
        <v>Liberica</v>
      </c>
      <c r="O589" t="str" cm="1">
        <f t="array" ref="O589">_xlfn.IFS(J589="M","Medium",J589="L","Light",J589="D","Dark")</f>
        <v>Dark</v>
      </c>
      <c r="P589" t="str">
        <f>_xlfn.XLOOKUP(Orders[[#This Row],[Customer ID]],customers!$A$1:$A$1001,customers!$I$1:$I$1001,,0)</f>
        <v>Yes</v>
      </c>
    </row>
    <row r="590" spans="1:16" x14ac:dyDescent="0.35">
      <c r="A590" s="2" t="s">
        <v>3812</v>
      </c>
      <c r="B590" s="5">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6">
        <f>INDEX(products!$A$1:$G$49,MATCH(orders!$D590,products!$A$1:$A$49,0),MATCH(K$1,products!$A$1:$G$1,0))</f>
        <v>0.5</v>
      </c>
      <c r="L590" s="7">
        <f>INDEX(products!$A$1:$G$49,MATCH(orders!$D590,products!$A$1:$A$49,0),MATCH(L$1,products!$A$1:$G$1,0))</f>
        <v>5.97</v>
      </c>
      <c r="M590" s="7">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ID]],customers!$A$1:$A$1001,customers!$I$1:$I$1001,,0)</f>
        <v>Yes</v>
      </c>
    </row>
    <row r="591" spans="1:16" x14ac:dyDescent="0.35">
      <c r="A591" s="2" t="s">
        <v>3818</v>
      </c>
      <c r="B591" s="5">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6">
        <f>INDEX(products!$A$1:$G$49,MATCH(orders!$D591,products!$A$1:$A$49,0),MATCH(K$1,products!$A$1:$G$1,0))</f>
        <v>2.5</v>
      </c>
      <c r="L591" s="7">
        <f>INDEX(products!$A$1:$G$49,MATCH(orders!$D591,products!$A$1:$A$49,0),MATCH(L$1,products!$A$1:$G$1,0))</f>
        <v>34.154999999999994</v>
      </c>
      <c r="M591" s="7">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ID]],customers!$A$1:$A$1001,customers!$I$1:$I$1001,,0)</f>
        <v>No</v>
      </c>
    </row>
    <row r="592" spans="1:16" x14ac:dyDescent="0.35">
      <c r="A592" s="2" t="s">
        <v>3823</v>
      </c>
      <c r="B592" s="5">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6">
        <f>INDEX(products!$A$1:$G$49,MATCH(orders!$D592,products!$A$1:$A$49,0),MATCH(K$1,products!$A$1:$G$1,0))</f>
        <v>2.5</v>
      </c>
      <c r="L592" s="7">
        <f>INDEX(products!$A$1:$G$49,MATCH(orders!$D592,products!$A$1:$A$49,0),MATCH(L$1,products!$A$1:$G$1,0))</f>
        <v>31.624999999999996</v>
      </c>
      <c r="M592" s="7">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ID]],customers!$A$1:$A$1001,customers!$I$1:$I$1001,,0)</f>
        <v>Yes</v>
      </c>
    </row>
    <row r="593" spans="1:16" x14ac:dyDescent="0.35">
      <c r="A593" s="2" t="s">
        <v>3829</v>
      </c>
      <c r="B593" s="5">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6">
        <f>INDEX(products!$A$1:$G$49,MATCH(orders!$D593,products!$A$1:$A$49,0),MATCH(K$1,products!$A$1:$G$1,0))</f>
        <v>0.2</v>
      </c>
      <c r="L593" s="7">
        <f>INDEX(products!$A$1:$G$49,MATCH(orders!$D593,products!$A$1:$A$49,0),MATCH(L$1,products!$A$1:$G$1,0))</f>
        <v>2.6849999999999996</v>
      </c>
      <c r="M593" s="7">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ID]],customers!$A$1:$A$1001,customers!$I$1:$I$1001,,0)</f>
        <v>Yes</v>
      </c>
    </row>
    <row r="594" spans="1:16" x14ac:dyDescent="0.35">
      <c r="A594" s="2" t="s">
        <v>3834</v>
      </c>
      <c r="B594" s="5">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6">
        <f>INDEX(products!$A$1:$G$49,MATCH(orders!$D594,products!$A$1:$A$49,0),MATCH(K$1,products!$A$1:$G$1,0))</f>
        <v>2.5</v>
      </c>
      <c r="L594" s="7">
        <f>INDEX(products!$A$1:$G$49,MATCH(orders!$D594,products!$A$1:$A$49,0),MATCH(L$1,products!$A$1:$G$1,0))</f>
        <v>25.874999999999996</v>
      </c>
      <c r="M594" s="7">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ID]],customers!$A$1:$A$1001,customers!$I$1:$I$1001,,0)</f>
        <v>No</v>
      </c>
    </row>
    <row r="595" spans="1:16" x14ac:dyDescent="0.35">
      <c r="A595" s="2" t="s">
        <v>3839</v>
      </c>
      <c r="B595" s="5">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6">
        <f>INDEX(products!$A$1:$G$49,MATCH(orders!$D595,products!$A$1:$A$49,0),MATCH(K$1,products!$A$1:$G$1,0))</f>
        <v>2.5</v>
      </c>
      <c r="L595" s="7">
        <f>INDEX(products!$A$1:$G$49,MATCH(orders!$D595,products!$A$1:$A$49,0),MATCH(L$1,products!$A$1:$G$1,0))</f>
        <v>27.945</v>
      </c>
      <c r="M595" s="7">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ID]],customers!$A$1:$A$1001,customers!$I$1:$I$1001,,0)</f>
        <v>Yes</v>
      </c>
    </row>
    <row r="596" spans="1:16" x14ac:dyDescent="0.35">
      <c r="A596" s="2" t="s">
        <v>3844</v>
      </c>
      <c r="B596" s="5">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6">
        <f>INDEX(products!$A$1:$G$49,MATCH(orders!$D596,products!$A$1:$A$49,0),MATCH(K$1,products!$A$1:$G$1,0))</f>
        <v>2.5</v>
      </c>
      <c r="L596" s="7">
        <f>INDEX(products!$A$1:$G$49,MATCH(orders!$D596,products!$A$1:$A$49,0),MATCH(L$1,products!$A$1:$G$1,0))</f>
        <v>29.784999999999997</v>
      </c>
      <c r="M596" s="7">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ID]],customers!$A$1:$A$1001,customers!$I$1:$I$1001,,0)</f>
        <v>No</v>
      </c>
    </row>
    <row r="597" spans="1:16" x14ac:dyDescent="0.35">
      <c r="A597" s="2" t="s">
        <v>3850</v>
      </c>
      <c r="B597" s="5">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6">
        <f>INDEX(products!$A$1:$G$49,MATCH(orders!$D597,products!$A$1:$A$49,0),MATCH(K$1,products!$A$1:$G$1,0))</f>
        <v>1</v>
      </c>
      <c r="L597" s="7">
        <f>INDEX(products!$A$1:$G$49,MATCH(orders!$D597,products!$A$1:$A$49,0),MATCH(L$1,products!$A$1:$G$1,0))</f>
        <v>14.85</v>
      </c>
      <c r="M597" s="7">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ID]],customers!$A$1:$A$1001,customers!$I$1:$I$1001,,0)</f>
        <v>No</v>
      </c>
    </row>
    <row r="598" spans="1:16" x14ac:dyDescent="0.35">
      <c r="A598" s="2" t="s">
        <v>3854</v>
      </c>
      <c r="B598" s="5">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6">
        <f>INDEX(products!$A$1:$G$49,MATCH(orders!$D598,products!$A$1:$A$49,0),MATCH(K$1,products!$A$1:$G$1,0))</f>
        <v>0.5</v>
      </c>
      <c r="L598" s="7">
        <f>INDEX(products!$A$1:$G$49,MATCH(orders!$D598,products!$A$1:$A$49,0),MATCH(L$1,products!$A$1:$G$1,0))</f>
        <v>6.75</v>
      </c>
      <c r="M598" s="7">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ID]],customers!$A$1:$A$1001,customers!$I$1:$I$1001,,0)</f>
        <v>No</v>
      </c>
    </row>
    <row r="599" spans="1:16" x14ac:dyDescent="0.35">
      <c r="A599" s="2" t="s">
        <v>3860</v>
      </c>
      <c r="B599" s="5">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6">
        <f>INDEX(products!$A$1:$G$49,MATCH(orders!$D599,products!$A$1:$A$49,0),MATCH(K$1,products!$A$1:$G$1,0))</f>
        <v>2.5</v>
      </c>
      <c r="L599" s="7">
        <f>INDEX(products!$A$1:$G$49,MATCH(orders!$D599,products!$A$1:$A$49,0),MATCH(L$1,products!$A$1:$G$1,0))</f>
        <v>36.454999999999998</v>
      </c>
      <c r="M599" s="7">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ID]],customers!$A$1:$A$1001,customers!$I$1:$I$1001,,0)</f>
        <v>Yes</v>
      </c>
    </row>
    <row r="600" spans="1:16" x14ac:dyDescent="0.35">
      <c r="A600" s="2" t="s">
        <v>3866</v>
      </c>
      <c r="B600" s="5">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6">
        <f>INDEX(products!$A$1:$G$49,MATCH(orders!$D600,products!$A$1:$A$49,0),MATCH(K$1,products!$A$1:$G$1,0))</f>
        <v>0.2</v>
      </c>
      <c r="L600" s="7">
        <f>INDEX(products!$A$1:$G$49,MATCH(orders!$D600,products!$A$1:$A$49,0),MATCH(L$1,products!$A$1:$G$1,0))</f>
        <v>2.9849999999999999</v>
      </c>
      <c r="M600" s="7">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ID]],customers!$A$1:$A$1001,customers!$I$1:$I$1001,,0)</f>
        <v>Yes</v>
      </c>
    </row>
    <row r="601" spans="1:16" x14ac:dyDescent="0.35">
      <c r="A601" s="2" t="s">
        <v>3872</v>
      </c>
      <c r="B601" s="5">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6">
        <f>INDEX(products!$A$1:$G$49,MATCH(orders!$D601,products!$A$1:$A$49,0),MATCH(K$1,products!$A$1:$G$1,0))</f>
        <v>0.2</v>
      </c>
      <c r="L601" s="7">
        <f>INDEX(products!$A$1:$G$49,MATCH(orders!$D601,products!$A$1:$A$49,0),MATCH(L$1,products!$A$1:$G$1,0))</f>
        <v>2.9849999999999999</v>
      </c>
      <c r="M601" s="7">
        <f t="shared" si="9"/>
        <v>11.94</v>
      </c>
      <c r="N601" t="str" cm="1">
        <f t="array" ref="N601">_xlfn.IFS(I601="Rob","Robusta",I601="Exc","Excelsa",I601="Ara","Arabica",I601="Lib","Liberica")</f>
        <v>Arabica</v>
      </c>
      <c r="O601" t="str" cm="1">
        <f t="array" ref="O601">_xlfn.IFS(J601="M","Medium",J601="L","Light",J601="D","Dark")</f>
        <v>Dark</v>
      </c>
      <c r="P601" t="str">
        <f>_xlfn.XLOOKUP(Orders[[#This Row],[Customer ID]],customers!$A$1:$A$1001,customers!$I$1:$I$1001,,0)</f>
        <v>Yes</v>
      </c>
    </row>
    <row r="602" spans="1:16" x14ac:dyDescent="0.35">
      <c r="A602" s="2" t="s">
        <v>3877</v>
      </c>
      <c r="B602" s="5">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6">
        <f>INDEX(products!$A$1:$G$49,MATCH(orders!$D602,products!$A$1:$A$49,0),MATCH(K$1,products!$A$1:$G$1,0))</f>
        <v>0.5</v>
      </c>
      <c r="L602" s="7">
        <f>INDEX(products!$A$1:$G$49,MATCH(orders!$D602,products!$A$1:$A$49,0),MATCH(L$1,products!$A$1:$G$1,0))</f>
        <v>7.77</v>
      </c>
      <c r="M602" s="7">
        <f t="shared" si="9"/>
        <v>7.77</v>
      </c>
      <c r="N602" t="str" cm="1">
        <f t="array" ref="N602">_xlfn.IFS(I602="Rob","Robusta",I602="Exc","Excelsa",I602="Ara","Arabica",I602="Lib","Liberica")</f>
        <v>Liberica</v>
      </c>
      <c r="O602" t="str" cm="1">
        <f t="array" ref="O602">_xlfn.IFS(J602="M","Medium",J602="L","Light",J602="D","Dark")</f>
        <v>Dark</v>
      </c>
      <c r="P602" t="str">
        <f>_xlfn.XLOOKUP(Orders[[#This Row],[Customer ID]],customers!$A$1:$A$1001,customers!$I$1:$I$1001,,0)</f>
        <v>No</v>
      </c>
    </row>
    <row r="603" spans="1:16" x14ac:dyDescent="0.35">
      <c r="A603" s="2" t="s">
        <v>3883</v>
      </c>
      <c r="B603" s="5">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6">
        <f>INDEX(products!$A$1:$G$49,MATCH(orders!$D603,products!$A$1:$A$49,0),MATCH(K$1,products!$A$1:$G$1,0))</f>
        <v>2.5</v>
      </c>
      <c r="L603" s="7">
        <f>INDEX(products!$A$1:$G$49,MATCH(orders!$D603,products!$A$1:$A$49,0),MATCH(L$1,products!$A$1:$G$1,0))</f>
        <v>27.484999999999996</v>
      </c>
      <c r="M603" s="7">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ID]],customers!$A$1:$A$1001,customers!$I$1:$I$1001,,0)</f>
        <v>Yes</v>
      </c>
    </row>
    <row r="604" spans="1:16" x14ac:dyDescent="0.35">
      <c r="A604" s="2" t="s">
        <v>3889</v>
      </c>
      <c r="B604" s="5">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6">
        <f>INDEX(products!$A$1:$G$49,MATCH(orders!$D604,products!$A$1:$A$49,0),MATCH(K$1,products!$A$1:$G$1,0))</f>
        <v>0.2</v>
      </c>
      <c r="L604" s="7">
        <f>INDEX(products!$A$1:$G$49,MATCH(orders!$D604,products!$A$1:$A$49,0),MATCH(L$1,products!$A$1:$G$1,0))</f>
        <v>4.4550000000000001</v>
      </c>
      <c r="M604" s="7">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ID]],customers!$A$1:$A$1001,customers!$I$1:$I$1001,,0)</f>
        <v>Yes</v>
      </c>
    </row>
    <row r="605" spans="1:16" x14ac:dyDescent="0.35">
      <c r="A605" s="2" t="s">
        <v>3895</v>
      </c>
      <c r="B605" s="5">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6">
        <f>INDEX(products!$A$1:$G$49,MATCH(orders!$D605,products!$A$1:$A$49,0),MATCH(K$1,products!$A$1:$G$1,0))</f>
        <v>0.2</v>
      </c>
      <c r="L605" s="7">
        <f>INDEX(products!$A$1:$G$49,MATCH(orders!$D605,products!$A$1:$A$49,0),MATCH(L$1,products!$A$1:$G$1,0))</f>
        <v>2.9849999999999999</v>
      </c>
      <c r="M605" s="7">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ID]],customers!$A$1:$A$1001,customers!$I$1:$I$1001,,0)</f>
        <v>No</v>
      </c>
    </row>
    <row r="606" spans="1:16" x14ac:dyDescent="0.35">
      <c r="A606" s="2" t="s">
        <v>3900</v>
      </c>
      <c r="B606" s="5">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6">
        <f>INDEX(products!$A$1:$G$49,MATCH(orders!$D606,products!$A$1:$A$49,0),MATCH(K$1,products!$A$1:$G$1,0))</f>
        <v>2.5</v>
      </c>
      <c r="L606" s="7">
        <f>INDEX(products!$A$1:$G$49,MATCH(orders!$D606,products!$A$1:$A$49,0),MATCH(L$1,products!$A$1:$G$1,0))</f>
        <v>29.784999999999997</v>
      </c>
      <c r="M606" s="7">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ID]],customers!$A$1:$A$1001,customers!$I$1:$I$1001,,0)</f>
        <v>No</v>
      </c>
    </row>
    <row r="607" spans="1:16" x14ac:dyDescent="0.35">
      <c r="A607" s="2" t="s">
        <v>3905</v>
      </c>
      <c r="B607" s="5">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6">
        <f>INDEX(products!$A$1:$G$49,MATCH(orders!$D607,products!$A$1:$A$49,0),MATCH(K$1,products!$A$1:$G$1,0))</f>
        <v>2.5</v>
      </c>
      <c r="L607" s="7">
        <f>INDEX(products!$A$1:$G$49,MATCH(orders!$D607,products!$A$1:$A$49,0),MATCH(L$1,products!$A$1:$G$1,0))</f>
        <v>29.784999999999997</v>
      </c>
      <c r="M607" s="7">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ID]],customers!$A$1:$A$1001,customers!$I$1:$I$1001,,0)</f>
        <v>Yes</v>
      </c>
    </row>
    <row r="608" spans="1:16" x14ac:dyDescent="0.35">
      <c r="A608" s="2" t="s">
        <v>3911</v>
      </c>
      <c r="B608" s="5">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6">
        <f>INDEX(products!$A$1:$G$49,MATCH(orders!$D608,products!$A$1:$A$49,0),MATCH(K$1,products!$A$1:$G$1,0))</f>
        <v>2.5</v>
      </c>
      <c r="L608" s="7">
        <f>INDEX(products!$A$1:$G$49,MATCH(orders!$D608,products!$A$1:$A$49,0),MATCH(L$1,products!$A$1:$G$1,0))</f>
        <v>36.454999999999998</v>
      </c>
      <c r="M608" s="7">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ID]],customers!$A$1:$A$1001,customers!$I$1:$I$1001,,0)</f>
        <v>Yes</v>
      </c>
    </row>
    <row r="609" spans="1:16" x14ac:dyDescent="0.35">
      <c r="A609" s="2" t="s">
        <v>3917</v>
      </c>
      <c r="B609" s="5">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6">
        <f>INDEX(products!$A$1:$G$49,MATCH(orders!$D609,products!$A$1:$A$49,0),MATCH(K$1,products!$A$1:$G$1,0))</f>
        <v>0.2</v>
      </c>
      <c r="L609" s="7">
        <f>INDEX(products!$A$1:$G$49,MATCH(orders!$D609,products!$A$1:$A$49,0),MATCH(L$1,products!$A$1:$G$1,0))</f>
        <v>3.645</v>
      </c>
      <c r="M609" s="7">
        <f t="shared" si="9"/>
        <v>3.645</v>
      </c>
      <c r="N609" t="str" cm="1">
        <f t="array" ref="N609">_xlfn.IFS(I609="Rob","Robusta",I609="Exc","Excelsa",I609="Ara","Arabica",I609="Lib","Liberica")</f>
        <v>Excelsa</v>
      </c>
      <c r="O609" t="str" cm="1">
        <f t="array" ref="O609">_xlfn.IFS(J609="M","Medium",J609="L","Light",J609="D","Dark")</f>
        <v>Dark</v>
      </c>
      <c r="P609" t="str">
        <f>_xlfn.XLOOKUP(Orders[[#This Row],[Customer ID]],customers!$A$1:$A$1001,customers!$I$1:$I$1001,,0)</f>
        <v>Yes</v>
      </c>
    </row>
    <row r="610" spans="1:16" x14ac:dyDescent="0.35">
      <c r="A610" s="2" t="s">
        <v>3923</v>
      </c>
      <c r="B610" s="5">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6">
        <f>INDEX(products!$A$1:$G$49,MATCH(orders!$D610,products!$A$1:$A$49,0),MATCH(K$1,products!$A$1:$G$1,0))</f>
        <v>2.5</v>
      </c>
      <c r="L610" s="7">
        <f>INDEX(products!$A$1:$G$49,MATCH(orders!$D610,products!$A$1:$A$49,0),MATCH(L$1,products!$A$1:$G$1,0))</f>
        <v>27.945</v>
      </c>
      <c r="M610" s="7">
        <f t="shared" si="9"/>
        <v>55.89</v>
      </c>
      <c r="N610" t="str" cm="1">
        <f t="array" ref="N610">_xlfn.IFS(I610="Rob","Robusta",I610="Exc","Excelsa",I610="Ara","Arabica",I610="Lib","Liberica")</f>
        <v>Excelsa</v>
      </c>
      <c r="O610" t="str" cm="1">
        <f t="array" ref="O610">_xlfn.IFS(J610="M","Medium",J610="L","Light",J610="D","Dark")</f>
        <v>Dark</v>
      </c>
      <c r="P610" t="str">
        <f>_xlfn.XLOOKUP(Orders[[#This Row],[Customer ID]],customers!$A$1:$A$1001,customers!$I$1:$I$1001,,0)</f>
        <v>No</v>
      </c>
    </row>
    <row r="611" spans="1:16" x14ac:dyDescent="0.35">
      <c r="A611" s="2" t="s">
        <v>3927</v>
      </c>
      <c r="B611" s="5">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6">
        <f>INDEX(products!$A$1:$G$49,MATCH(orders!$D611,products!$A$1:$A$49,0),MATCH(K$1,products!$A$1:$G$1,0))</f>
        <v>0.2</v>
      </c>
      <c r="L611" s="7">
        <f>INDEX(products!$A$1:$G$49,MATCH(orders!$D611,products!$A$1:$A$49,0),MATCH(L$1,products!$A$1:$G$1,0))</f>
        <v>4.3650000000000002</v>
      </c>
      <c r="M611" s="7">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ID]],customers!$A$1:$A$1001,customers!$I$1:$I$1001,,0)</f>
        <v>Yes</v>
      </c>
    </row>
    <row r="612" spans="1:16" x14ac:dyDescent="0.35">
      <c r="A612" s="2" t="s">
        <v>3933</v>
      </c>
      <c r="B612" s="5">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6">
        <f>INDEX(products!$A$1:$G$49,MATCH(orders!$D612,products!$A$1:$A$49,0),MATCH(K$1,products!$A$1:$G$1,0))</f>
        <v>1</v>
      </c>
      <c r="L612" s="7">
        <f>INDEX(products!$A$1:$G$49,MATCH(orders!$D612,products!$A$1:$A$49,0),MATCH(L$1,products!$A$1:$G$1,0))</f>
        <v>9.9499999999999993</v>
      </c>
      <c r="M612" s="7">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ID]],customers!$A$1:$A$1001,customers!$I$1:$I$1001,,0)</f>
        <v>No</v>
      </c>
    </row>
    <row r="613" spans="1:16" x14ac:dyDescent="0.35">
      <c r="A613" s="2" t="s">
        <v>3939</v>
      </c>
      <c r="B613" s="5">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6">
        <f>INDEX(products!$A$1:$G$49,MATCH(orders!$D613,products!$A$1:$A$49,0),MATCH(K$1,products!$A$1:$G$1,0))</f>
        <v>2.5</v>
      </c>
      <c r="L613" s="7">
        <f>INDEX(products!$A$1:$G$49,MATCH(orders!$D613,products!$A$1:$A$49,0),MATCH(L$1,products!$A$1:$G$1,0))</f>
        <v>34.154999999999994</v>
      </c>
      <c r="M613" s="7">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ID]],customers!$A$1:$A$1001,customers!$I$1:$I$1001,,0)</f>
        <v>No</v>
      </c>
    </row>
    <row r="614" spans="1:16" x14ac:dyDescent="0.35">
      <c r="A614" s="2" t="s">
        <v>3945</v>
      </c>
      <c r="B614" s="5">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6">
        <f>INDEX(products!$A$1:$G$49,MATCH(orders!$D614,products!$A$1:$A$49,0),MATCH(K$1,products!$A$1:$G$1,0))</f>
        <v>0.2</v>
      </c>
      <c r="L614" s="7">
        <f>INDEX(products!$A$1:$G$49,MATCH(orders!$D614,products!$A$1:$A$49,0),MATCH(L$1,products!$A$1:$G$1,0))</f>
        <v>3.375</v>
      </c>
      <c r="M614" s="7">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ID]],customers!$A$1:$A$1001,customers!$I$1:$I$1001,,0)</f>
        <v>No</v>
      </c>
    </row>
    <row r="615" spans="1:16" x14ac:dyDescent="0.35">
      <c r="A615" s="2" t="s">
        <v>3950</v>
      </c>
      <c r="B615" s="5">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6">
        <f>INDEX(products!$A$1:$G$49,MATCH(orders!$D615,products!$A$1:$A$49,0),MATCH(K$1,products!$A$1:$G$1,0))</f>
        <v>0.5</v>
      </c>
      <c r="L615" s="7">
        <f>INDEX(products!$A$1:$G$49,MATCH(orders!$D615,products!$A$1:$A$49,0),MATCH(L$1,products!$A$1:$G$1,0))</f>
        <v>5.97</v>
      </c>
      <c r="M615" s="7">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ID]],customers!$A$1:$A$1001,customers!$I$1:$I$1001,,0)</f>
        <v>No</v>
      </c>
    </row>
    <row r="616" spans="1:16" x14ac:dyDescent="0.35">
      <c r="A616" s="2" t="s">
        <v>3955</v>
      </c>
      <c r="B616" s="5">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6">
        <f>INDEX(products!$A$1:$G$49,MATCH(orders!$D616,products!$A$1:$A$49,0),MATCH(K$1,products!$A$1:$G$1,0))</f>
        <v>0.5</v>
      </c>
      <c r="L616" s="7">
        <f>INDEX(products!$A$1:$G$49,MATCH(orders!$D616,products!$A$1:$A$49,0),MATCH(L$1,products!$A$1:$G$1,0))</f>
        <v>5.97</v>
      </c>
      <c r="M616" s="7">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ID]],customers!$A$1:$A$1001,customers!$I$1:$I$1001,,0)</f>
        <v>Yes</v>
      </c>
    </row>
    <row r="617" spans="1:16" x14ac:dyDescent="0.35">
      <c r="A617" s="2" t="s">
        <v>3960</v>
      </c>
      <c r="B617" s="5">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6">
        <f>INDEX(products!$A$1:$G$49,MATCH(orders!$D617,products!$A$1:$A$49,0),MATCH(K$1,products!$A$1:$G$1,0))</f>
        <v>2.5</v>
      </c>
      <c r="L617" s="7">
        <f>INDEX(products!$A$1:$G$49,MATCH(orders!$D617,products!$A$1:$A$49,0),MATCH(L$1,products!$A$1:$G$1,0))</f>
        <v>36.454999999999998</v>
      </c>
      <c r="M617" s="7">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ID]],customers!$A$1:$A$1001,customers!$I$1:$I$1001,,0)</f>
        <v>Yes</v>
      </c>
    </row>
    <row r="618" spans="1:16" x14ac:dyDescent="0.35">
      <c r="A618" s="2" t="s">
        <v>3966</v>
      </c>
      <c r="B618" s="5">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6">
        <f>INDEX(products!$A$1:$G$49,MATCH(orders!$D618,products!$A$1:$A$49,0),MATCH(K$1,products!$A$1:$G$1,0))</f>
        <v>2.5</v>
      </c>
      <c r="L618" s="7">
        <f>INDEX(products!$A$1:$G$49,MATCH(orders!$D618,products!$A$1:$A$49,0),MATCH(L$1,products!$A$1:$G$1,0))</f>
        <v>31.624999999999996</v>
      </c>
      <c r="M618" s="7">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ID]],customers!$A$1:$A$1001,customers!$I$1:$I$1001,,0)</f>
        <v>No</v>
      </c>
    </row>
    <row r="619" spans="1:16" x14ac:dyDescent="0.35">
      <c r="A619" s="2" t="s">
        <v>3972</v>
      </c>
      <c r="B619" s="5">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6">
        <f>INDEX(products!$A$1:$G$49,MATCH(orders!$D619,products!$A$1:$A$49,0),MATCH(K$1,products!$A$1:$G$1,0))</f>
        <v>2.5</v>
      </c>
      <c r="L619" s="7">
        <f>INDEX(products!$A$1:$G$49,MATCH(orders!$D619,products!$A$1:$A$49,0),MATCH(L$1,products!$A$1:$G$1,0))</f>
        <v>33.464999999999996</v>
      </c>
      <c r="M619" s="7">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ID]],customers!$A$1:$A$1001,customers!$I$1:$I$1001,,0)</f>
        <v>No</v>
      </c>
    </row>
    <row r="620" spans="1:16" x14ac:dyDescent="0.35">
      <c r="A620" s="2" t="s">
        <v>3978</v>
      </c>
      <c r="B620" s="5">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6">
        <f>INDEX(products!$A$1:$G$49,MATCH(orders!$D620,products!$A$1:$A$49,0),MATCH(K$1,products!$A$1:$G$1,0))</f>
        <v>1</v>
      </c>
      <c r="L620" s="7">
        <f>INDEX(products!$A$1:$G$49,MATCH(orders!$D620,products!$A$1:$A$49,0),MATCH(L$1,products!$A$1:$G$1,0))</f>
        <v>12.15</v>
      </c>
      <c r="M620" s="7">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ID]],customers!$A$1:$A$1001,customers!$I$1:$I$1001,,0)</f>
        <v>Yes</v>
      </c>
    </row>
    <row r="621" spans="1:16" x14ac:dyDescent="0.35">
      <c r="A621" s="2" t="s">
        <v>3984</v>
      </c>
      <c r="B621" s="5">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6">
        <f>INDEX(products!$A$1:$G$49,MATCH(orders!$D621,products!$A$1:$A$49,0),MATCH(K$1,products!$A$1:$G$1,0))</f>
        <v>0.5</v>
      </c>
      <c r="L621" s="7">
        <f>INDEX(products!$A$1:$G$49,MATCH(orders!$D621,products!$A$1:$A$49,0),MATCH(L$1,products!$A$1:$G$1,0))</f>
        <v>7.77</v>
      </c>
      <c r="M621" s="7">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ID]],customers!$A$1:$A$1001,customers!$I$1:$I$1001,,0)</f>
        <v>Yes</v>
      </c>
    </row>
    <row r="622" spans="1:16" x14ac:dyDescent="0.35">
      <c r="A622" s="2" t="s">
        <v>3990</v>
      </c>
      <c r="B622" s="5">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6">
        <f>INDEX(products!$A$1:$G$49,MATCH(orders!$D622,products!$A$1:$A$49,0),MATCH(K$1,products!$A$1:$G$1,0))</f>
        <v>0.2</v>
      </c>
      <c r="L622" s="7">
        <f>INDEX(products!$A$1:$G$49,MATCH(orders!$D622,products!$A$1:$A$49,0),MATCH(L$1,products!$A$1:$G$1,0))</f>
        <v>3.375</v>
      </c>
      <c r="M622" s="7">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ID]],customers!$A$1:$A$1001,customers!$I$1:$I$1001,,0)</f>
        <v>No</v>
      </c>
    </row>
    <row r="623" spans="1:16" x14ac:dyDescent="0.35">
      <c r="A623" s="2" t="s">
        <v>3996</v>
      </c>
      <c r="B623" s="5">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6">
        <f>INDEX(products!$A$1:$G$49,MATCH(orders!$D623,products!$A$1:$A$49,0),MATCH(K$1,products!$A$1:$G$1,0))</f>
        <v>1</v>
      </c>
      <c r="L623" s="7">
        <f>INDEX(products!$A$1:$G$49,MATCH(orders!$D623,products!$A$1:$A$49,0),MATCH(L$1,products!$A$1:$G$1,0))</f>
        <v>12.95</v>
      </c>
      <c r="M623" s="7">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ID]],customers!$A$1:$A$1001,customers!$I$1:$I$1001,,0)</f>
        <v>No</v>
      </c>
    </row>
    <row r="624" spans="1:16" x14ac:dyDescent="0.35">
      <c r="A624" s="2" t="s">
        <v>4002</v>
      </c>
      <c r="B624" s="5">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6">
        <f>INDEX(products!$A$1:$G$49,MATCH(orders!$D624,products!$A$1:$A$49,0),MATCH(K$1,products!$A$1:$G$1,0))</f>
        <v>2.5</v>
      </c>
      <c r="L624" s="7">
        <f>INDEX(products!$A$1:$G$49,MATCH(orders!$D624,products!$A$1:$A$49,0),MATCH(L$1,products!$A$1:$G$1,0))</f>
        <v>33.464999999999996</v>
      </c>
      <c r="M624" s="7">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ID]],customers!$A$1:$A$1001,customers!$I$1:$I$1001,,0)</f>
        <v>No</v>
      </c>
    </row>
    <row r="625" spans="1:16" x14ac:dyDescent="0.35">
      <c r="A625" s="2" t="s">
        <v>4007</v>
      </c>
      <c r="B625" s="5">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6">
        <f>INDEX(products!$A$1:$G$49,MATCH(orders!$D625,products!$A$1:$A$49,0),MATCH(K$1,products!$A$1:$G$1,0))</f>
        <v>1</v>
      </c>
      <c r="L625" s="7">
        <f>INDEX(products!$A$1:$G$49,MATCH(orders!$D625,products!$A$1:$A$49,0),MATCH(L$1,products!$A$1:$G$1,0))</f>
        <v>12.15</v>
      </c>
      <c r="M625" s="7">
        <f t="shared" si="9"/>
        <v>12.15</v>
      </c>
      <c r="N625" t="str" cm="1">
        <f t="array" ref="N625">_xlfn.IFS(I625="Rob","Robusta",I625="Exc","Excelsa",I625="Ara","Arabica",I625="Lib","Liberica")</f>
        <v>Excelsa</v>
      </c>
      <c r="O625" t="str" cm="1">
        <f t="array" ref="O625">_xlfn.IFS(J625="M","Medium",J625="L","Light",J625="D","Dark")</f>
        <v>Dark</v>
      </c>
      <c r="P625" t="str">
        <f>_xlfn.XLOOKUP(Orders[[#This Row],[Customer ID]],customers!$A$1:$A$1001,customers!$I$1:$I$1001,,0)</f>
        <v>No</v>
      </c>
    </row>
    <row r="626" spans="1:16" x14ac:dyDescent="0.35">
      <c r="A626" s="2" t="s">
        <v>4012</v>
      </c>
      <c r="B626" s="5">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6">
        <f>INDEX(products!$A$1:$G$49,MATCH(orders!$D626,products!$A$1:$A$49,0),MATCH(K$1,products!$A$1:$G$1,0))</f>
        <v>2.5</v>
      </c>
      <c r="L626" s="7">
        <f>INDEX(products!$A$1:$G$49,MATCH(orders!$D626,products!$A$1:$A$49,0),MATCH(L$1,products!$A$1:$G$1,0))</f>
        <v>31.624999999999996</v>
      </c>
      <c r="M626" s="7">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ID]],customers!$A$1:$A$1001,customers!$I$1:$I$1001,,0)</f>
        <v>Yes</v>
      </c>
    </row>
    <row r="627" spans="1:16" x14ac:dyDescent="0.35">
      <c r="A627" s="2" t="s">
        <v>4017</v>
      </c>
      <c r="B627" s="5">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6">
        <f>INDEX(products!$A$1:$G$49,MATCH(orders!$D627,products!$A$1:$A$49,0),MATCH(K$1,products!$A$1:$G$1,0))</f>
        <v>0.5</v>
      </c>
      <c r="L627" s="7">
        <f>INDEX(products!$A$1:$G$49,MATCH(orders!$D627,products!$A$1:$A$49,0),MATCH(L$1,products!$A$1:$G$1,0))</f>
        <v>7.169999999999999</v>
      </c>
      <c r="M627" s="7">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ID]],customers!$A$1:$A$1001,customers!$I$1:$I$1001,,0)</f>
        <v>No</v>
      </c>
    </row>
    <row r="628" spans="1:16" x14ac:dyDescent="0.35">
      <c r="A628" s="2" t="s">
        <v>4023</v>
      </c>
      <c r="B628" s="5">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6">
        <f>INDEX(products!$A$1:$G$49,MATCH(orders!$D628,products!$A$1:$A$49,0),MATCH(K$1,products!$A$1:$G$1,0))</f>
        <v>2.5</v>
      </c>
      <c r="L628" s="7">
        <f>INDEX(products!$A$1:$G$49,MATCH(orders!$D628,products!$A$1:$A$49,0),MATCH(L$1,products!$A$1:$G$1,0))</f>
        <v>25.874999999999996</v>
      </c>
      <c r="M628" s="7">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ID]],customers!$A$1:$A$1001,customers!$I$1:$I$1001,,0)</f>
        <v>No</v>
      </c>
    </row>
    <row r="629" spans="1:16" x14ac:dyDescent="0.35">
      <c r="A629" s="2" t="s">
        <v>4029</v>
      </c>
      <c r="B629" s="5">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6">
        <f>INDEX(products!$A$1:$G$49,MATCH(orders!$D629,products!$A$1:$A$49,0),MATCH(K$1,products!$A$1:$G$1,0))</f>
        <v>2.5</v>
      </c>
      <c r="L629" s="7">
        <f>INDEX(products!$A$1:$G$49,MATCH(orders!$D629,products!$A$1:$A$49,0),MATCH(L$1,products!$A$1:$G$1,0))</f>
        <v>31.624999999999996</v>
      </c>
      <c r="M629" s="7">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ID]],customers!$A$1:$A$1001,customers!$I$1:$I$1001,,0)</f>
        <v>Yes</v>
      </c>
    </row>
    <row r="630" spans="1:16" x14ac:dyDescent="0.35">
      <c r="A630" s="2" t="s">
        <v>4035</v>
      </c>
      <c r="B630" s="5">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6">
        <f>INDEX(products!$A$1:$G$49,MATCH(orders!$D630,products!$A$1:$A$49,0),MATCH(K$1,products!$A$1:$G$1,0))</f>
        <v>0.2</v>
      </c>
      <c r="L630" s="7">
        <f>INDEX(products!$A$1:$G$49,MATCH(orders!$D630,products!$A$1:$A$49,0),MATCH(L$1,products!$A$1:$G$1,0))</f>
        <v>4.4550000000000001</v>
      </c>
      <c r="M630" s="7">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ID]],customers!$A$1:$A$1001,customers!$I$1:$I$1001,,0)</f>
        <v>Yes</v>
      </c>
    </row>
    <row r="631" spans="1:16" x14ac:dyDescent="0.35">
      <c r="A631" s="2" t="s">
        <v>4035</v>
      </c>
      <c r="B631" s="5">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6">
        <f>INDEX(products!$A$1:$G$49,MATCH(orders!$D631,products!$A$1:$A$49,0),MATCH(K$1,products!$A$1:$G$1,0))</f>
        <v>0.5</v>
      </c>
      <c r="L631" s="7">
        <f>INDEX(products!$A$1:$G$49,MATCH(orders!$D631,products!$A$1:$A$49,0),MATCH(L$1,products!$A$1:$G$1,0))</f>
        <v>7.77</v>
      </c>
      <c r="M631" s="7">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ID]],customers!$A$1:$A$1001,customers!$I$1:$I$1001,,0)</f>
        <v>Yes</v>
      </c>
    </row>
    <row r="632" spans="1:16" x14ac:dyDescent="0.35">
      <c r="A632" s="2" t="s">
        <v>4035</v>
      </c>
      <c r="B632" s="5">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6">
        <f>INDEX(products!$A$1:$G$49,MATCH(orders!$D632,products!$A$1:$A$49,0),MATCH(K$1,products!$A$1:$G$1,0))</f>
        <v>0.2</v>
      </c>
      <c r="L632" s="7">
        <f>INDEX(products!$A$1:$G$49,MATCH(orders!$D632,products!$A$1:$A$49,0),MATCH(L$1,products!$A$1:$G$1,0))</f>
        <v>2.9849999999999999</v>
      </c>
      <c r="M632" s="7">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ID]],customers!$A$1:$A$1001,customers!$I$1:$I$1001,,0)</f>
        <v>Yes</v>
      </c>
    </row>
    <row r="633" spans="1:16" x14ac:dyDescent="0.35">
      <c r="A633" s="2" t="s">
        <v>4035</v>
      </c>
      <c r="B633" s="5">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6">
        <f>INDEX(products!$A$1:$G$49,MATCH(orders!$D633,products!$A$1:$A$49,0),MATCH(K$1,products!$A$1:$G$1,0))</f>
        <v>2.5</v>
      </c>
      <c r="L633" s="7">
        <f>INDEX(products!$A$1:$G$49,MATCH(orders!$D633,products!$A$1:$A$49,0),MATCH(L$1,products!$A$1:$G$1,0))</f>
        <v>20.584999999999997</v>
      </c>
      <c r="M633" s="7">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ID]],customers!$A$1:$A$1001,customers!$I$1:$I$1001,,0)</f>
        <v>Yes</v>
      </c>
    </row>
    <row r="634" spans="1:16" x14ac:dyDescent="0.35">
      <c r="A634" s="2" t="s">
        <v>4056</v>
      </c>
      <c r="B634" s="5">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6">
        <f>INDEX(products!$A$1:$G$49,MATCH(orders!$D634,products!$A$1:$A$49,0),MATCH(K$1,products!$A$1:$G$1,0))</f>
        <v>0.5</v>
      </c>
      <c r="L634" s="7">
        <f>INDEX(products!$A$1:$G$49,MATCH(orders!$D634,products!$A$1:$A$49,0),MATCH(L$1,products!$A$1:$G$1,0))</f>
        <v>8.91</v>
      </c>
      <c r="M634" s="7">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ID]],customers!$A$1:$A$1001,customers!$I$1:$I$1001,,0)</f>
        <v>No</v>
      </c>
    </row>
    <row r="635" spans="1:16" x14ac:dyDescent="0.35">
      <c r="A635" s="2" t="s">
        <v>4062</v>
      </c>
      <c r="B635" s="5">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6">
        <f>INDEX(products!$A$1:$G$49,MATCH(orders!$D635,products!$A$1:$A$49,0),MATCH(K$1,products!$A$1:$G$1,0))</f>
        <v>1</v>
      </c>
      <c r="L635" s="7">
        <f>INDEX(products!$A$1:$G$49,MATCH(orders!$D635,products!$A$1:$A$49,0),MATCH(L$1,products!$A$1:$G$1,0))</f>
        <v>11.95</v>
      </c>
      <c r="M635" s="7">
        <f t="shared" si="9"/>
        <v>47.8</v>
      </c>
      <c r="N635" t="str" cm="1">
        <f t="array" ref="N635">_xlfn.IFS(I635="Rob","Robusta",I635="Exc","Excelsa",I635="Ara","Arabica",I635="Lib","Liberica")</f>
        <v>Robusta</v>
      </c>
      <c r="O635" t="str" cm="1">
        <f t="array" ref="O635">_xlfn.IFS(J635="M","Medium",J635="L","Light",J635="D","Dark")</f>
        <v>Light</v>
      </c>
      <c r="P635" t="str">
        <f>_xlfn.XLOOKUP(Orders[[#This Row],[Customer ID]],customers!$A$1:$A$1001,customers!$I$1:$I$1001,,0)</f>
        <v>No</v>
      </c>
    </row>
    <row r="636" spans="1:16" x14ac:dyDescent="0.35">
      <c r="A636" s="2" t="s">
        <v>4068</v>
      </c>
      <c r="B636" s="5">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6">
        <f>INDEX(products!$A$1:$G$49,MATCH(orders!$D636,products!$A$1:$A$49,0),MATCH(K$1,products!$A$1:$G$1,0))</f>
        <v>1</v>
      </c>
      <c r="L636" s="7">
        <f>INDEX(products!$A$1:$G$49,MATCH(orders!$D636,products!$A$1:$A$49,0),MATCH(L$1,products!$A$1:$G$1,0))</f>
        <v>14.55</v>
      </c>
      <c r="M636" s="7">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ID]],customers!$A$1:$A$1001,customers!$I$1:$I$1001,,0)</f>
        <v>No</v>
      </c>
    </row>
    <row r="637" spans="1:16" x14ac:dyDescent="0.35">
      <c r="A637" s="2" t="s">
        <v>4074</v>
      </c>
      <c r="B637" s="5">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6">
        <f>INDEX(products!$A$1:$G$49,MATCH(orders!$D637,products!$A$1:$A$49,0),MATCH(K$1,products!$A$1:$G$1,0))</f>
        <v>0.5</v>
      </c>
      <c r="L637" s="7">
        <f>INDEX(products!$A$1:$G$49,MATCH(orders!$D637,products!$A$1:$A$49,0),MATCH(L$1,products!$A$1:$G$1,0))</f>
        <v>8.91</v>
      </c>
      <c r="M637" s="7">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ID]],customers!$A$1:$A$1001,customers!$I$1:$I$1001,,0)</f>
        <v>Yes</v>
      </c>
    </row>
    <row r="638" spans="1:16" x14ac:dyDescent="0.35">
      <c r="A638" s="2" t="s">
        <v>4080</v>
      </c>
      <c r="B638" s="5">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6">
        <f>INDEX(products!$A$1:$G$49,MATCH(orders!$D638,products!$A$1:$A$49,0),MATCH(K$1,products!$A$1:$G$1,0))</f>
        <v>1</v>
      </c>
      <c r="L638" s="7">
        <f>INDEX(products!$A$1:$G$49,MATCH(orders!$D638,products!$A$1:$A$49,0),MATCH(L$1,products!$A$1:$G$1,0))</f>
        <v>15.85</v>
      </c>
      <c r="M638" s="7">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ID]],customers!$A$1:$A$1001,customers!$I$1:$I$1001,,0)</f>
        <v>Yes</v>
      </c>
    </row>
    <row r="639" spans="1:16" x14ac:dyDescent="0.35">
      <c r="A639" s="2" t="s">
        <v>4086</v>
      </c>
      <c r="B639" s="5">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6">
        <f>INDEX(products!$A$1:$G$49,MATCH(orders!$D639,products!$A$1:$A$49,0),MATCH(K$1,products!$A$1:$G$1,0))</f>
        <v>2.5</v>
      </c>
      <c r="L639" s="7">
        <f>INDEX(products!$A$1:$G$49,MATCH(orders!$D639,products!$A$1:$A$49,0),MATCH(L$1,products!$A$1:$G$1,0))</f>
        <v>31.624999999999996</v>
      </c>
      <c r="M639" s="7">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ID]],customers!$A$1:$A$1001,customers!$I$1:$I$1001,,0)</f>
        <v>Yes</v>
      </c>
    </row>
    <row r="640" spans="1:16" x14ac:dyDescent="0.35">
      <c r="A640" s="2" t="s">
        <v>4093</v>
      </c>
      <c r="B640" s="5">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6">
        <f>INDEX(products!$A$1:$G$49,MATCH(orders!$D640,products!$A$1:$A$49,0),MATCH(K$1,products!$A$1:$G$1,0))</f>
        <v>2.5</v>
      </c>
      <c r="L640" s="7">
        <f>INDEX(products!$A$1:$G$49,MATCH(orders!$D640,products!$A$1:$A$49,0),MATCH(L$1,products!$A$1:$G$1,0))</f>
        <v>25.874999999999996</v>
      </c>
      <c r="M640" s="7">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ID]],customers!$A$1:$A$1001,customers!$I$1:$I$1001,,0)</f>
        <v>Yes</v>
      </c>
    </row>
    <row r="641" spans="1:16" x14ac:dyDescent="0.35">
      <c r="A641" s="2" t="s">
        <v>4098</v>
      </c>
      <c r="B641" s="5">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6">
        <f>INDEX(products!$A$1:$G$49,MATCH(orders!$D641,products!$A$1:$A$49,0),MATCH(K$1,products!$A$1:$G$1,0))</f>
        <v>0.2</v>
      </c>
      <c r="L641" s="7">
        <f>INDEX(products!$A$1:$G$49,MATCH(orders!$D641,products!$A$1:$A$49,0),MATCH(L$1,products!$A$1:$G$1,0))</f>
        <v>3.8849999999999998</v>
      </c>
      <c r="M641" s="7">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ID]],customers!$A$1:$A$1001,customers!$I$1:$I$1001,,0)</f>
        <v>Yes</v>
      </c>
    </row>
    <row r="642" spans="1:16" x14ac:dyDescent="0.35">
      <c r="A642" s="2" t="s">
        <v>4104</v>
      </c>
      <c r="B642" s="5">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6">
        <f>INDEX(products!$A$1:$G$49,MATCH(orders!$D642,products!$A$1:$A$49,0),MATCH(K$1,products!$A$1:$G$1,0))</f>
        <v>2.5</v>
      </c>
      <c r="L642" s="7">
        <f>INDEX(products!$A$1:$G$49,MATCH(orders!$D642,products!$A$1:$A$49,0),MATCH(L$1,products!$A$1:$G$1,0))</f>
        <v>27.484999999999996</v>
      </c>
      <c r="M642" s="7">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ID]],customers!$A$1:$A$1001,customers!$I$1:$I$1001,,0)</f>
        <v>No</v>
      </c>
    </row>
    <row r="643" spans="1:16" x14ac:dyDescent="0.35">
      <c r="A643" s="2" t="s">
        <v>4109</v>
      </c>
      <c r="B643" s="5">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6">
        <f>INDEX(products!$A$1:$G$49,MATCH(orders!$D643,products!$A$1:$A$49,0),MATCH(K$1,products!$A$1:$G$1,0))</f>
        <v>1</v>
      </c>
      <c r="L643" s="7">
        <f>INDEX(products!$A$1:$G$49,MATCH(orders!$D643,products!$A$1:$A$49,0),MATCH(L$1,products!$A$1:$G$1,0))</f>
        <v>11.95</v>
      </c>
      <c r="M643" s="7">
        <f t="shared" ref="M643:M706" si="10">PRODUCT(L643,E643)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ID]],customers!$A$1:$A$1001,customers!$I$1:$I$1001,,0)</f>
        <v>Yes</v>
      </c>
    </row>
    <row r="644" spans="1:16" x14ac:dyDescent="0.35">
      <c r="A644" s="2" t="s">
        <v>4115</v>
      </c>
      <c r="B644" s="5">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6">
        <f>INDEX(products!$A$1:$G$49,MATCH(orders!$D644,products!$A$1:$A$49,0),MATCH(K$1,products!$A$1:$G$1,0))</f>
        <v>0.2</v>
      </c>
      <c r="L644" s="7">
        <f>INDEX(products!$A$1:$G$49,MATCH(orders!$D644,products!$A$1:$A$49,0),MATCH(L$1,products!$A$1:$G$1,0))</f>
        <v>4.125</v>
      </c>
      <c r="M644" s="7">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ID]],customers!$A$1:$A$1001,customers!$I$1:$I$1001,,0)</f>
        <v>Yes</v>
      </c>
    </row>
    <row r="645" spans="1:16" x14ac:dyDescent="0.35">
      <c r="A645" s="2" t="s">
        <v>4123</v>
      </c>
      <c r="B645" s="5">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6">
        <f>INDEX(products!$A$1:$G$49,MATCH(orders!$D645,products!$A$1:$A$49,0),MATCH(K$1,products!$A$1:$G$1,0))</f>
        <v>2.5</v>
      </c>
      <c r="L645" s="7">
        <f>INDEX(products!$A$1:$G$49,MATCH(orders!$D645,products!$A$1:$A$49,0),MATCH(L$1,products!$A$1:$G$1,0))</f>
        <v>34.154999999999994</v>
      </c>
      <c r="M645" s="7">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ID]],customers!$A$1:$A$1001,customers!$I$1:$I$1001,,0)</f>
        <v>Yes</v>
      </c>
    </row>
    <row r="646" spans="1:16" x14ac:dyDescent="0.35">
      <c r="A646" s="2" t="s">
        <v>4128</v>
      </c>
      <c r="B646" s="5">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6">
        <f>INDEX(products!$A$1:$G$49,MATCH(orders!$D646,products!$A$1:$A$49,0),MATCH(K$1,products!$A$1:$G$1,0))</f>
        <v>2.5</v>
      </c>
      <c r="L646" s="7">
        <f>INDEX(products!$A$1:$G$49,MATCH(orders!$D646,products!$A$1:$A$49,0),MATCH(L$1,products!$A$1:$G$1,0))</f>
        <v>20.584999999999997</v>
      </c>
      <c r="M646" s="7">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ID]],customers!$A$1:$A$1001,customers!$I$1:$I$1001,,0)</f>
        <v>No</v>
      </c>
    </row>
    <row r="647" spans="1:16" x14ac:dyDescent="0.35">
      <c r="A647" s="2" t="s">
        <v>4133</v>
      </c>
      <c r="B647" s="5">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6">
        <f>INDEX(products!$A$1:$G$49,MATCH(orders!$D647,products!$A$1:$A$49,0),MATCH(K$1,products!$A$1:$G$1,0))</f>
        <v>2.5</v>
      </c>
      <c r="L647" s="7">
        <f>INDEX(products!$A$1:$G$49,MATCH(orders!$D647,products!$A$1:$A$49,0),MATCH(L$1,products!$A$1:$G$1,0))</f>
        <v>22.884999999999998</v>
      </c>
      <c r="M647" s="7">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ID]],customers!$A$1:$A$1001,customers!$I$1:$I$1001,,0)</f>
        <v>Yes</v>
      </c>
    </row>
    <row r="648" spans="1:16" x14ac:dyDescent="0.35">
      <c r="A648" s="2" t="s">
        <v>4139</v>
      </c>
      <c r="B648" s="5">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6">
        <f>INDEX(products!$A$1:$G$49,MATCH(orders!$D648,products!$A$1:$A$49,0),MATCH(K$1,products!$A$1:$G$1,0))</f>
        <v>1</v>
      </c>
      <c r="L648" s="7">
        <f>INDEX(products!$A$1:$G$49,MATCH(orders!$D648,products!$A$1:$A$49,0),MATCH(L$1,products!$A$1:$G$1,0))</f>
        <v>9.9499999999999993</v>
      </c>
      <c r="M648" s="7">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ID]],customers!$A$1:$A$1001,customers!$I$1:$I$1001,,0)</f>
        <v>Yes</v>
      </c>
    </row>
    <row r="649" spans="1:16" x14ac:dyDescent="0.35">
      <c r="A649" s="2" t="s">
        <v>4145</v>
      </c>
      <c r="B649" s="5">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6">
        <f>INDEX(products!$A$1:$G$49,MATCH(orders!$D649,products!$A$1:$A$49,0),MATCH(K$1,products!$A$1:$G$1,0))</f>
        <v>0.5</v>
      </c>
      <c r="L649" s="7">
        <f>INDEX(products!$A$1:$G$49,MATCH(orders!$D649,products!$A$1:$A$49,0),MATCH(L$1,products!$A$1:$G$1,0))</f>
        <v>9.51</v>
      </c>
      <c r="M649" s="7">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ID]],customers!$A$1:$A$1001,customers!$I$1:$I$1001,,0)</f>
        <v>Yes</v>
      </c>
    </row>
    <row r="650" spans="1:16" x14ac:dyDescent="0.35">
      <c r="A650" s="2" t="s">
        <v>4151</v>
      </c>
      <c r="B650" s="5">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6">
        <f>INDEX(products!$A$1:$G$49,MATCH(orders!$D650,products!$A$1:$A$49,0),MATCH(K$1,products!$A$1:$G$1,0))</f>
        <v>0.2</v>
      </c>
      <c r="L650" s="7">
        <f>INDEX(products!$A$1:$G$49,MATCH(orders!$D650,products!$A$1:$A$49,0),MATCH(L$1,products!$A$1:$G$1,0))</f>
        <v>2.6849999999999996</v>
      </c>
      <c r="M650" s="7">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ID]],customers!$A$1:$A$1001,customers!$I$1:$I$1001,,0)</f>
        <v>No</v>
      </c>
    </row>
    <row r="651" spans="1:16" x14ac:dyDescent="0.35">
      <c r="A651" s="2" t="s">
        <v>4157</v>
      </c>
      <c r="B651" s="5">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6">
        <f>INDEX(products!$A$1:$G$49,MATCH(orders!$D651,products!$A$1:$A$49,0),MATCH(K$1,products!$A$1:$G$1,0))</f>
        <v>1</v>
      </c>
      <c r="L651" s="7">
        <f>INDEX(products!$A$1:$G$49,MATCH(orders!$D651,products!$A$1:$A$49,0),MATCH(L$1,products!$A$1:$G$1,0))</f>
        <v>15.85</v>
      </c>
      <c r="M651" s="7">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ID]],customers!$A$1:$A$1001,customers!$I$1:$I$1001,,0)</f>
        <v>No</v>
      </c>
    </row>
    <row r="652" spans="1:16" x14ac:dyDescent="0.35">
      <c r="A652" s="2" t="s">
        <v>4163</v>
      </c>
      <c r="B652" s="5">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6">
        <f>INDEX(products!$A$1:$G$49,MATCH(orders!$D652,products!$A$1:$A$49,0),MATCH(K$1,products!$A$1:$G$1,0))</f>
        <v>0.5</v>
      </c>
      <c r="L652" s="7">
        <f>INDEX(products!$A$1:$G$49,MATCH(orders!$D652,products!$A$1:$A$49,0),MATCH(L$1,products!$A$1:$G$1,0))</f>
        <v>5.3699999999999992</v>
      </c>
      <c r="M652" s="7">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ID]],customers!$A$1:$A$1001,customers!$I$1:$I$1001,,0)</f>
        <v>Yes</v>
      </c>
    </row>
    <row r="653" spans="1:16" x14ac:dyDescent="0.35">
      <c r="A653" s="2" t="s">
        <v>4169</v>
      </c>
      <c r="B653" s="5">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6">
        <f>INDEX(products!$A$1:$G$49,MATCH(orders!$D653,products!$A$1:$A$49,0),MATCH(K$1,products!$A$1:$G$1,0))</f>
        <v>1</v>
      </c>
      <c r="L653" s="7">
        <f>INDEX(products!$A$1:$G$49,MATCH(orders!$D653,products!$A$1:$A$49,0),MATCH(L$1,products!$A$1:$G$1,0))</f>
        <v>11.95</v>
      </c>
      <c r="M653" s="7">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ID]],customers!$A$1:$A$1001,customers!$I$1:$I$1001,,0)</f>
        <v>No</v>
      </c>
    </row>
    <row r="654" spans="1:16" x14ac:dyDescent="0.35">
      <c r="A654" s="2" t="s">
        <v>4174</v>
      </c>
      <c r="B654" s="5">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6">
        <f>INDEX(products!$A$1:$G$49,MATCH(orders!$D654,products!$A$1:$A$49,0),MATCH(K$1,products!$A$1:$G$1,0))</f>
        <v>1</v>
      </c>
      <c r="L654" s="7">
        <f>INDEX(products!$A$1:$G$49,MATCH(orders!$D654,products!$A$1:$A$49,0),MATCH(L$1,products!$A$1:$G$1,0))</f>
        <v>15.85</v>
      </c>
      <c r="M654" s="7">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ID]],customers!$A$1:$A$1001,customers!$I$1:$I$1001,,0)</f>
        <v>No</v>
      </c>
    </row>
    <row r="655" spans="1:16" x14ac:dyDescent="0.35">
      <c r="A655" s="2" t="s">
        <v>4179</v>
      </c>
      <c r="B655" s="5">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6">
        <f>INDEX(products!$A$1:$G$49,MATCH(orders!$D655,products!$A$1:$A$49,0),MATCH(K$1,products!$A$1:$G$1,0))</f>
        <v>2.5</v>
      </c>
      <c r="L655" s="7">
        <f>INDEX(products!$A$1:$G$49,MATCH(orders!$D655,products!$A$1:$A$49,0),MATCH(L$1,products!$A$1:$G$1,0))</f>
        <v>25.874999999999996</v>
      </c>
      <c r="M655" s="7">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ID]],customers!$A$1:$A$1001,customers!$I$1:$I$1001,,0)</f>
        <v>No</v>
      </c>
    </row>
    <row r="656" spans="1:16" x14ac:dyDescent="0.35">
      <c r="A656" s="2" t="s">
        <v>4185</v>
      </c>
      <c r="B656" s="5">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6">
        <f>INDEX(products!$A$1:$G$49,MATCH(orders!$D656,products!$A$1:$A$49,0),MATCH(K$1,products!$A$1:$G$1,0))</f>
        <v>2.5</v>
      </c>
      <c r="L656" s="7">
        <f>INDEX(products!$A$1:$G$49,MATCH(orders!$D656,products!$A$1:$A$49,0),MATCH(L$1,products!$A$1:$G$1,0))</f>
        <v>22.884999999999998</v>
      </c>
      <c r="M656" s="7">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ID]],customers!$A$1:$A$1001,customers!$I$1:$I$1001,,0)</f>
        <v>No</v>
      </c>
    </row>
    <row r="657" spans="1:16" x14ac:dyDescent="0.35">
      <c r="A657" s="2" t="s">
        <v>4191</v>
      </c>
      <c r="B657" s="5">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6">
        <f>INDEX(products!$A$1:$G$49,MATCH(orders!$D657,products!$A$1:$A$49,0),MATCH(K$1,products!$A$1:$G$1,0))</f>
        <v>2.5</v>
      </c>
      <c r="L657" s="7">
        <f>INDEX(products!$A$1:$G$49,MATCH(orders!$D657,products!$A$1:$A$49,0),MATCH(L$1,products!$A$1:$G$1,0))</f>
        <v>22.884999999999998</v>
      </c>
      <c r="M657" s="7">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ID]],customers!$A$1:$A$1001,customers!$I$1:$I$1001,,0)</f>
        <v>Yes</v>
      </c>
    </row>
    <row r="658" spans="1:16" x14ac:dyDescent="0.35">
      <c r="A658" s="2" t="s">
        <v>4196</v>
      </c>
      <c r="B658" s="5">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6">
        <f>INDEX(products!$A$1:$G$49,MATCH(orders!$D658,products!$A$1:$A$49,0),MATCH(K$1,products!$A$1:$G$1,0))</f>
        <v>1</v>
      </c>
      <c r="L658" s="7">
        <f>INDEX(products!$A$1:$G$49,MATCH(orders!$D658,products!$A$1:$A$49,0),MATCH(L$1,products!$A$1:$G$1,0))</f>
        <v>12.95</v>
      </c>
      <c r="M658" s="7">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ID]],customers!$A$1:$A$1001,customers!$I$1:$I$1001,,0)</f>
        <v>No</v>
      </c>
    </row>
    <row r="659" spans="1:16" x14ac:dyDescent="0.35">
      <c r="A659" s="2" t="s">
        <v>4201</v>
      </c>
      <c r="B659" s="5">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6">
        <f>INDEX(products!$A$1:$G$49,MATCH(orders!$D659,products!$A$1:$A$49,0),MATCH(K$1,products!$A$1:$G$1,0))</f>
        <v>0.5</v>
      </c>
      <c r="L659" s="7">
        <f>INDEX(products!$A$1:$G$49,MATCH(orders!$D659,products!$A$1:$A$49,0),MATCH(L$1,products!$A$1:$G$1,0))</f>
        <v>6.75</v>
      </c>
      <c r="M659" s="7">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ID]],customers!$A$1:$A$1001,customers!$I$1:$I$1001,,0)</f>
        <v>Yes</v>
      </c>
    </row>
    <row r="660" spans="1:16" x14ac:dyDescent="0.35">
      <c r="A660" s="2" t="s">
        <v>4207</v>
      </c>
      <c r="B660" s="5">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6">
        <f>INDEX(products!$A$1:$G$49,MATCH(orders!$D660,products!$A$1:$A$49,0),MATCH(K$1,products!$A$1:$G$1,0))</f>
        <v>0.5</v>
      </c>
      <c r="L660" s="7">
        <f>INDEX(products!$A$1:$G$49,MATCH(orders!$D660,products!$A$1:$A$49,0),MATCH(L$1,products!$A$1:$G$1,0))</f>
        <v>8.25</v>
      </c>
      <c r="M660" s="7">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ID]],customers!$A$1:$A$1001,customers!$I$1:$I$1001,,0)</f>
        <v>Yes</v>
      </c>
    </row>
    <row r="661" spans="1:16" x14ac:dyDescent="0.35">
      <c r="A661" s="2" t="s">
        <v>4211</v>
      </c>
      <c r="B661" s="5">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6">
        <f>INDEX(products!$A$1:$G$49,MATCH(orders!$D661,products!$A$1:$A$49,0),MATCH(K$1,products!$A$1:$G$1,0))</f>
        <v>2.5</v>
      </c>
      <c r="L661" s="7">
        <f>INDEX(products!$A$1:$G$49,MATCH(orders!$D661,products!$A$1:$A$49,0),MATCH(L$1,products!$A$1:$G$1,0))</f>
        <v>22.884999999999998</v>
      </c>
      <c r="M661" s="7">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ID]],customers!$A$1:$A$1001,customers!$I$1:$I$1001,,0)</f>
        <v>Yes</v>
      </c>
    </row>
    <row r="662" spans="1:16" x14ac:dyDescent="0.35">
      <c r="A662" s="2" t="s">
        <v>4217</v>
      </c>
      <c r="B662" s="5">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6">
        <f>INDEX(products!$A$1:$G$49,MATCH(orders!$D662,products!$A$1:$A$49,0),MATCH(K$1,products!$A$1:$G$1,0))</f>
        <v>0.5</v>
      </c>
      <c r="L662" s="7">
        <f>INDEX(products!$A$1:$G$49,MATCH(orders!$D662,products!$A$1:$A$49,0),MATCH(L$1,products!$A$1:$G$1,0))</f>
        <v>8.91</v>
      </c>
      <c r="M662" s="7">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ID]],customers!$A$1:$A$1001,customers!$I$1:$I$1001,,0)</f>
        <v>No</v>
      </c>
    </row>
    <row r="663" spans="1:16" x14ac:dyDescent="0.35">
      <c r="A663" s="2" t="s">
        <v>4223</v>
      </c>
      <c r="B663" s="5">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6">
        <f>INDEX(products!$A$1:$G$49,MATCH(orders!$D663,products!$A$1:$A$49,0),MATCH(K$1,products!$A$1:$G$1,0))</f>
        <v>0.2</v>
      </c>
      <c r="L663" s="7">
        <f>INDEX(products!$A$1:$G$49,MATCH(orders!$D663,products!$A$1:$A$49,0),MATCH(L$1,products!$A$1:$G$1,0))</f>
        <v>3.375</v>
      </c>
      <c r="M663" s="7">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ID]],customers!$A$1:$A$1001,customers!$I$1:$I$1001,,0)</f>
        <v>Yes</v>
      </c>
    </row>
    <row r="664" spans="1:16" x14ac:dyDescent="0.35">
      <c r="A664" s="2" t="s">
        <v>4229</v>
      </c>
      <c r="B664" s="5">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6">
        <f>INDEX(products!$A$1:$G$49,MATCH(orders!$D664,products!$A$1:$A$49,0),MATCH(K$1,products!$A$1:$G$1,0))</f>
        <v>2.5</v>
      </c>
      <c r="L664" s="7">
        <f>INDEX(products!$A$1:$G$49,MATCH(orders!$D664,products!$A$1:$A$49,0),MATCH(L$1,products!$A$1:$G$1,0))</f>
        <v>29.784999999999997</v>
      </c>
      <c r="M664" s="7">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ID]],customers!$A$1:$A$1001,customers!$I$1:$I$1001,,0)</f>
        <v>No</v>
      </c>
    </row>
    <row r="665" spans="1:16" x14ac:dyDescent="0.35">
      <c r="A665" s="2" t="s">
        <v>4234</v>
      </c>
      <c r="B665" s="5">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6">
        <f>INDEX(products!$A$1:$G$49,MATCH(orders!$D665,products!$A$1:$A$49,0),MATCH(K$1,products!$A$1:$G$1,0))</f>
        <v>1</v>
      </c>
      <c r="L665" s="7">
        <f>INDEX(products!$A$1:$G$49,MATCH(orders!$D665,products!$A$1:$A$49,0),MATCH(L$1,products!$A$1:$G$1,0))</f>
        <v>11.25</v>
      </c>
      <c r="M665" s="7">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ID]],customers!$A$1:$A$1001,customers!$I$1:$I$1001,,0)</f>
        <v>No</v>
      </c>
    </row>
    <row r="666" spans="1:16" x14ac:dyDescent="0.35">
      <c r="A666" s="2" t="s">
        <v>4239</v>
      </c>
      <c r="B666" s="5">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6">
        <f>INDEX(products!$A$1:$G$49,MATCH(orders!$D666,products!$A$1:$A$49,0),MATCH(K$1,products!$A$1:$G$1,0))</f>
        <v>1</v>
      </c>
      <c r="L666" s="7">
        <f>INDEX(products!$A$1:$G$49,MATCH(orders!$D666,products!$A$1:$A$49,0),MATCH(L$1,products!$A$1:$G$1,0))</f>
        <v>12.15</v>
      </c>
      <c r="M666" s="7">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ID]],customers!$A$1:$A$1001,customers!$I$1:$I$1001,,0)</f>
        <v>No</v>
      </c>
    </row>
    <row r="667" spans="1:16" x14ac:dyDescent="0.35">
      <c r="A667" s="2" t="s">
        <v>4239</v>
      </c>
      <c r="B667" s="5">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6">
        <f>INDEX(products!$A$1:$G$49,MATCH(orders!$D667,products!$A$1:$A$49,0),MATCH(K$1,products!$A$1:$G$1,0))</f>
        <v>0.2</v>
      </c>
      <c r="L667" s="7">
        <f>INDEX(products!$A$1:$G$49,MATCH(orders!$D667,products!$A$1:$A$49,0),MATCH(L$1,products!$A$1:$G$1,0))</f>
        <v>3.8849999999999998</v>
      </c>
      <c r="M667" s="7">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ID]],customers!$A$1:$A$1001,customers!$I$1:$I$1001,,0)</f>
        <v>No</v>
      </c>
    </row>
    <row r="668" spans="1:16" x14ac:dyDescent="0.35">
      <c r="A668" s="2" t="s">
        <v>4250</v>
      </c>
      <c r="B668" s="5">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6">
        <f>INDEX(products!$A$1:$G$49,MATCH(orders!$D668,products!$A$1:$A$49,0),MATCH(K$1,products!$A$1:$G$1,0))</f>
        <v>2.5</v>
      </c>
      <c r="L668" s="7">
        <f>INDEX(products!$A$1:$G$49,MATCH(orders!$D668,products!$A$1:$A$49,0),MATCH(L$1,products!$A$1:$G$1,0))</f>
        <v>22.884999999999998</v>
      </c>
      <c r="M668" s="7">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ID]],customers!$A$1:$A$1001,customers!$I$1:$I$1001,,0)</f>
        <v>No</v>
      </c>
    </row>
    <row r="669" spans="1:16" x14ac:dyDescent="0.35">
      <c r="A669" s="2" t="s">
        <v>4256</v>
      </c>
      <c r="B669" s="5">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6">
        <f>INDEX(products!$A$1:$G$49,MATCH(orders!$D669,products!$A$1:$A$49,0),MATCH(K$1,products!$A$1:$G$1,0))</f>
        <v>1</v>
      </c>
      <c r="L669" s="7">
        <f>INDEX(products!$A$1:$G$49,MATCH(orders!$D669,products!$A$1:$A$49,0),MATCH(L$1,products!$A$1:$G$1,0))</f>
        <v>9.9499999999999993</v>
      </c>
      <c r="M669" s="7">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ID]],customers!$A$1:$A$1001,customers!$I$1:$I$1001,,0)</f>
        <v>No</v>
      </c>
    </row>
    <row r="670" spans="1:16" x14ac:dyDescent="0.35">
      <c r="A670" s="2" t="s">
        <v>4262</v>
      </c>
      <c r="B670" s="5">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6">
        <f>INDEX(products!$A$1:$G$49,MATCH(orders!$D670,products!$A$1:$A$49,0),MATCH(K$1,products!$A$1:$G$1,0))</f>
        <v>2.5</v>
      </c>
      <c r="L670" s="7">
        <f>INDEX(products!$A$1:$G$49,MATCH(orders!$D670,products!$A$1:$A$49,0),MATCH(L$1,products!$A$1:$G$1,0))</f>
        <v>27.484999999999996</v>
      </c>
      <c r="M670" s="7">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ID]],customers!$A$1:$A$1001,customers!$I$1:$I$1001,,0)</f>
        <v>Yes</v>
      </c>
    </row>
    <row r="671" spans="1:16" x14ac:dyDescent="0.35">
      <c r="A671" s="2" t="s">
        <v>4268</v>
      </c>
      <c r="B671" s="5">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6">
        <f>INDEX(products!$A$1:$G$49,MATCH(orders!$D671,products!$A$1:$A$49,0),MATCH(K$1,products!$A$1:$G$1,0))</f>
        <v>2.5</v>
      </c>
      <c r="L671" s="7">
        <f>INDEX(products!$A$1:$G$49,MATCH(orders!$D671,products!$A$1:$A$49,0),MATCH(L$1,products!$A$1:$G$1,0))</f>
        <v>33.464999999999996</v>
      </c>
      <c r="M671" s="7">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ID]],customers!$A$1:$A$1001,customers!$I$1:$I$1001,,0)</f>
        <v>No</v>
      </c>
    </row>
    <row r="672" spans="1:16" x14ac:dyDescent="0.35">
      <c r="A672" s="2" t="s">
        <v>4274</v>
      </c>
      <c r="B672" s="5">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6">
        <f>INDEX(products!$A$1:$G$49,MATCH(orders!$D672,products!$A$1:$A$49,0),MATCH(K$1,products!$A$1:$G$1,0))</f>
        <v>0.2</v>
      </c>
      <c r="L672" s="7">
        <f>INDEX(products!$A$1:$G$49,MATCH(orders!$D672,products!$A$1:$A$49,0),MATCH(L$1,products!$A$1:$G$1,0))</f>
        <v>4.3650000000000002</v>
      </c>
      <c r="M672" s="7">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ID]],customers!$A$1:$A$1001,customers!$I$1:$I$1001,,0)</f>
        <v>Yes</v>
      </c>
    </row>
    <row r="673" spans="1:16" x14ac:dyDescent="0.35">
      <c r="A673" s="2" t="s">
        <v>4280</v>
      </c>
      <c r="B673" s="5">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6">
        <f>INDEX(products!$A$1:$G$49,MATCH(orders!$D673,products!$A$1:$A$49,0),MATCH(K$1,products!$A$1:$G$1,0))</f>
        <v>1</v>
      </c>
      <c r="L673" s="7">
        <f>INDEX(products!$A$1:$G$49,MATCH(orders!$D673,products!$A$1:$A$49,0),MATCH(L$1,products!$A$1:$G$1,0))</f>
        <v>11.95</v>
      </c>
      <c r="M673" s="7">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ID]],customers!$A$1:$A$1001,customers!$I$1:$I$1001,,0)</f>
        <v>No</v>
      </c>
    </row>
    <row r="674" spans="1:16" x14ac:dyDescent="0.35">
      <c r="A674" s="2" t="s">
        <v>4286</v>
      </c>
      <c r="B674" s="5">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6">
        <f>INDEX(products!$A$1:$G$49,MATCH(orders!$D674,products!$A$1:$A$49,0),MATCH(K$1,products!$A$1:$G$1,0))</f>
        <v>0.5</v>
      </c>
      <c r="L674" s="7">
        <f>INDEX(products!$A$1:$G$49,MATCH(orders!$D674,products!$A$1:$A$49,0),MATCH(L$1,products!$A$1:$G$1,0))</f>
        <v>8.73</v>
      </c>
      <c r="M674" s="7">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ID]],customers!$A$1:$A$1001,customers!$I$1:$I$1001,,0)</f>
        <v>Yes</v>
      </c>
    </row>
    <row r="675" spans="1:16" x14ac:dyDescent="0.35">
      <c r="A675" s="2" t="s">
        <v>4291</v>
      </c>
      <c r="B675" s="5">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6">
        <f>INDEX(products!$A$1:$G$49,MATCH(orders!$D675,products!$A$1:$A$49,0),MATCH(K$1,products!$A$1:$G$1,0))</f>
        <v>1</v>
      </c>
      <c r="L675" s="7">
        <f>INDEX(products!$A$1:$G$49,MATCH(orders!$D675,products!$A$1:$A$49,0),MATCH(L$1,products!$A$1:$G$1,0))</f>
        <v>13.75</v>
      </c>
      <c r="M675" s="7">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ID]],customers!$A$1:$A$1001,customers!$I$1:$I$1001,,0)</f>
        <v>Yes</v>
      </c>
    </row>
    <row r="676" spans="1:16" x14ac:dyDescent="0.35">
      <c r="A676" s="2" t="s">
        <v>4297</v>
      </c>
      <c r="B676" s="5">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6">
        <f>INDEX(products!$A$1:$G$49,MATCH(orders!$D676,products!$A$1:$A$49,0),MATCH(K$1,products!$A$1:$G$1,0))</f>
        <v>2.5</v>
      </c>
      <c r="L676" s="7">
        <f>INDEX(products!$A$1:$G$49,MATCH(orders!$D676,products!$A$1:$A$49,0),MATCH(L$1,products!$A$1:$G$1,0))</f>
        <v>29.784999999999997</v>
      </c>
      <c r="M676" s="7">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ID]],customers!$A$1:$A$1001,customers!$I$1:$I$1001,,0)</f>
        <v>Yes</v>
      </c>
    </row>
    <row r="677" spans="1:16" x14ac:dyDescent="0.35">
      <c r="A677" s="2" t="s">
        <v>4303</v>
      </c>
      <c r="B677" s="5">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6">
        <f>INDEX(products!$A$1:$G$49,MATCH(orders!$D677,products!$A$1:$A$49,0),MATCH(K$1,products!$A$1:$G$1,0))</f>
        <v>2.5</v>
      </c>
      <c r="L677" s="7">
        <f>INDEX(products!$A$1:$G$49,MATCH(orders!$D677,products!$A$1:$A$49,0),MATCH(L$1,products!$A$1:$G$1,0))</f>
        <v>29.784999999999997</v>
      </c>
      <c r="M677" s="7">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ID]],customers!$A$1:$A$1001,customers!$I$1:$I$1001,,0)</f>
        <v>Yes</v>
      </c>
    </row>
    <row r="678" spans="1:16" x14ac:dyDescent="0.35">
      <c r="A678" s="2" t="s">
        <v>4308</v>
      </c>
      <c r="B678" s="5">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6">
        <f>INDEX(products!$A$1:$G$49,MATCH(orders!$D678,products!$A$1:$A$49,0),MATCH(K$1,products!$A$1:$G$1,0))</f>
        <v>0.5</v>
      </c>
      <c r="L678" s="7">
        <f>INDEX(products!$A$1:$G$49,MATCH(orders!$D678,products!$A$1:$A$49,0),MATCH(L$1,products!$A$1:$G$1,0))</f>
        <v>9.51</v>
      </c>
      <c r="M678" s="7">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ID]],customers!$A$1:$A$1001,customers!$I$1:$I$1001,,0)</f>
        <v>No</v>
      </c>
    </row>
    <row r="679" spans="1:16" x14ac:dyDescent="0.35">
      <c r="A679" s="2" t="s">
        <v>4313</v>
      </c>
      <c r="B679" s="5">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6">
        <f>INDEX(products!$A$1:$G$49,MATCH(orders!$D679,products!$A$1:$A$49,0),MATCH(K$1,products!$A$1:$G$1,0))</f>
        <v>0.5</v>
      </c>
      <c r="L679" s="7">
        <f>INDEX(products!$A$1:$G$49,MATCH(orders!$D679,products!$A$1:$A$49,0),MATCH(L$1,products!$A$1:$G$1,0))</f>
        <v>8.73</v>
      </c>
      <c r="M679" s="7">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ID]],customers!$A$1:$A$1001,customers!$I$1:$I$1001,,0)</f>
        <v>No</v>
      </c>
    </row>
    <row r="680" spans="1:16" x14ac:dyDescent="0.35">
      <c r="A680" s="2" t="s">
        <v>4319</v>
      </c>
      <c r="B680" s="5">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6">
        <f>INDEX(products!$A$1:$G$49,MATCH(orders!$D680,products!$A$1:$A$49,0),MATCH(K$1,products!$A$1:$G$1,0))</f>
        <v>2.5</v>
      </c>
      <c r="L680" s="7">
        <f>INDEX(products!$A$1:$G$49,MATCH(orders!$D680,products!$A$1:$A$49,0),MATCH(L$1,products!$A$1:$G$1,0))</f>
        <v>29.784999999999997</v>
      </c>
      <c r="M680" s="7">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ID]],customers!$A$1:$A$1001,customers!$I$1:$I$1001,,0)</f>
        <v>Yes</v>
      </c>
    </row>
    <row r="681" spans="1:16" x14ac:dyDescent="0.35">
      <c r="A681" s="2" t="s">
        <v>4325</v>
      </c>
      <c r="B681" s="5">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6">
        <f>INDEX(products!$A$1:$G$49,MATCH(orders!$D681,products!$A$1:$A$49,0),MATCH(K$1,products!$A$1:$G$1,0))</f>
        <v>2.5</v>
      </c>
      <c r="L681" s="7">
        <f>INDEX(products!$A$1:$G$49,MATCH(orders!$D681,products!$A$1:$A$49,0),MATCH(L$1,products!$A$1:$G$1,0))</f>
        <v>27.484999999999996</v>
      </c>
      <c r="M681" s="7">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ID]],customers!$A$1:$A$1001,customers!$I$1:$I$1001,,0)</f>
        <v>No</v>
      </c>
    </row>
    <row r="682" spans="1:16" x14ac:dyDescent="0.35">
      <c r="A682" s="2" t="s">
        <v>4331</v>
      </c>
      <c r="B682" s="5">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6">
        <f>INDEX(products!$A$1:$G$49,MATCH(orders!$D682,products!$A$1:$A$49,0),MATCH(K$1,products!$A$1:$G$1,0))</f>
        <v>1</v>
      </c>
      <c r="L682" s="7">
        <f>INDEX(products!$A$1:$G$49,MATCH(orders!$D682,products!$A$1:$A$49,0),MATCH(L$1,products!$A$1:$G$1,0))</f>
        <v>11.25</v>
      </c>
      <c r="M682" s="7">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ID]],customers!$A$1:$A$1001,customers!$I$1:$I$1001,,0)</f>
        <v>No</v>
      </c>
    </row>
    <row r="683" spans="1:16" x14ac:dyDescent="0.35">
      <c r="A683" s="2" t="s">
        <v>4336</v>
      </c>
      <c r="B683" s="5">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6">
        <f>INDEX(products!$A$1:$G$49,MATCH(orders!$D683,products!$A$1:$A$49,0),MATCH(K$1,products!$A$1:$G$1,0))</f>
        <v>0.2</v>
      </c>
      <c r="L683" s="7">
        <f>INDEX(products!$A$1:$G$49,MATCH(orders!$D683,products!$A$1:$A$49,0),MATCH(L$1,products!$A$1:$G$1,0))</f>
        <v>4.7549999999999999</v>
      </c>
      <c r="M683" s="7">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ID]],customers!$A$1:$A$1001,customers!$I$1:$I$1001,,0)</f>
        <v>Yes</v>
      </c>
    </row>
    <row r="684" spans="1:16" x14ac:dyDescent="0.35">
      <c r="A684" s="2" t="s">
        <v>4342</v>
      </c>
      <c r="B684" s="5">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6">
        <f>INDEX(products!$A$1:$G$49,MATCH(orders!$D684,products!$A$1:$A$49,0),MATCH(K$1,products!$A$1:$G$1,0))</f>
        <v>0.2</v>
      </c>
      <c r="L684" s="7">
        <f>INDEX(products!$A$1:$G$49,MATCH(orders!$D684,products!$A$1:$A$49,0),MATCH(L$1,products!$A$1:$G$1,0))</f>
        <v>4.125</v>
      </c>
      <c r="M684" s="7">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ID]],customers!$A$1:$A$1001,customers!$I$1:$I$1001,,0)</f>
        <v>Yes</v>
      </c>
    </row>
    <row r="685" spans="1:16" x14ac:dyDescent="0.35">
      <c r="A685" s="2" t="s">
        <v>4348</v>
      </c>
      <c r="B685" s="5">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6">
        <f>INDEX(products!$A$1:$G$49,MATCH(orders!$D685,products!$A$1:$A$49,0),MATCH(K$1,products!$A$1:$G$1,0))</f>
        <v>0.5</v>
      </c>
      <c r="L685" s="7">
        <f>INDEX(products!$A$1:$G$49,MATCH(orders!$D685,products!$A$1:$A$49,0),MATCH(L$1,products!$A$1:$G$1,0))</f>
        <v>7.77</v>
      </c>
      <c r="M685" s="7">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ID]],customers!$A$1:$A$1001,customers!$I$1:$I$1001,,0)</f>
        <v>No</v>
      </c>
    </row>
    <row r="686" spans="1:16" x14ac:dyDescent="0.35">
      <c r="A686" s="2" t="s">
        <v>4354</v>
      </c>
      <c r="B686" s="5">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6">
        <f>INDEX(products!$A$1:$G$49,MATCH(orders!$D686,products!$A$1:$A$49,0),MATCH(K$1,products!$A$1:$G$1,0))</f>
        <v>1</v>
      </c>
      <c r="L686" s="7">
        <f>INDEX(products!$A$1:$G$49,MATCH(orders!$D686,products!$A$1:$A$49,0),MATCH(L$1,products!$A$1:$G$1,0))</f>
        <v>11.95</v>
      </c>
      <c r="M686" s="7">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ID]],customers!$A$1:$A$1001,customers!$I$1:$I$1001,,0)</f>
        <v>No</v>
      </c>
    </row>
    <row r="687" spans="1:16" x14ac:dyDescent="0.35">
      <c r="A687" s="2" t="s">
        <v>4359</v>
      </c>
      <c r="B687" s="5">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6">
        <f>INDEX(products!$A$1:$G$49,MATCH(orders!$D687,products!$A$1:$A$49,0),MATCH(K$1,products!$A$1:$G$1,0))</f>
        <v>2.5</v>
      </c>
      <c r="L687" s="7">
        <f>INDEX(products!$A$1:$G$49,MATCH(orders!$D687,products!$A$1:$A$49,0),MATCH(L$1,products!$A$1:$G$1,0))</f>
        <v>36.454999999999998</v>
      </c>
      <c r="M687" s="7">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ID]],customers!$A$1:$A$1001,customers!$I$1:$I$1001,,0)</f>
        <v>Yes</v>
      </c>
    </row>
    <row r="688" spans="1:16" x14ac:dyDescent="0.35">
      <c r="A688" s="2" t="s">
        <v>4365</v>
      </c>
      <c r="B688" s="5">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6">
        <f>INDEX(products!$A$1:$G$49,MATCH(orders!$D688,products!$A$1:$A$49,0),MATCH(K$1,products!$A$1:$G$1,0))</f>
        <v>0.2</v>
      </c>
      <c r="L688" s="7">
        <f>INDEX(products!$A$1:$G$49,MATCH(orders!$D688,products!$A$1:$A$49,0),MATCH(L$1,products!$A$1:$G$1,0))</f>
        <v>2.6849999999999996</v>
      </c>
      <c r="M688" s="7">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ID]],customers!$A$1:$A$1001,customers!$I$1:$I$1001,,0)</f>
        <v>Yes</v>
      </c>
    </row>
    <row r="689" spans="1:16" x14ac:dyDescent="0.35">
      <c r="A689" s="2" t="s">
        <v>4371</v>
      </c>
      <c r="B689" s="5">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6">
        <f>INDEX(products!$A$1:$G$49,MATCH(orders!$D689,products!$A$1:$A$49,0),MATCH(K$1,products!$A$1:$G$1,0))</f>
        <v>0.5</v>
      </c>
      <c r="L689" s="7">
        <f>INDEX(products!$A$1:$G$49,MATCH(orders!$D689,products!$A$1:$A$49,0),MATCH(L$1,products!$A$1:$G$1,0))</f>
        <v>8.25</v>
      </c>
      <c r="M689" s="7">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ID]],customers!$A$1:$A$1001,customers!$I$1:$I$1001,,0)</f>
        <v>No</v>
      </c>
    </row>
    <row r="690" spans="1:16" x14ac:dyDescent="0.35">
      <c r="A690" s="2" t="s">
        <v>4377</v>
      </c>
      <c r="B690" s="5">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6">
        <f>INDEX(products!$A$1:$G$49,MATCH(orders!$D690,products!$A$1:$A$49,0),MATCH(K$1,products!$A$1:$G$1,0))</f>
        <v>1</v>
      </c>
      <c r="L690" s="7">
        <f>INDEX(products!$A$1:$G$49,MATCH(orders!$D690,products!$A$1:$A$49,0),MATCH(L$1,products!$A$1:$G$1,0))</f>
        <v>12.95</v>
      </c>
      <c r="M690" s="7">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ID]],customers!$A$1:$A$1001,customers!$I$1:$I$1001,,0)</f>
        <v>No</v>
      </c>
    </row>
    <row r="691" spans="1:16" x14ac:dyDescent="0.35">
      <c r="A691" s="2" t="s">
        <v>4383</v>
      </c>
      <c r="B691" s="5">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6">
        <f>INDEX(products!$A$1:$G$49,MATCH(orders!$D691,products!$A$1:$A$49,0),MATCH(K$1,products!$A$1:$G$1,0))</f>
        <v>0.5</v>
      </c>
      <c r="L691" s="7">
        <f>INDEX(products!$A$1:$G$49,MATCH(orders!$D691,products!$A$1:$A$49,0),MATCH(L$1,products!$A$1:$G$1,0))</f>
        <v>6.75</v>
      </c>
      <c r="M691" s="7">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ID]],customers!$A$1:$A$1001,customers!$I$1:$I$1001,,0)</f>
        <v>No</v>
      </c>
    </row>
    <row r="692" spans="1:16" x14ac:dyDescent="0.35">
      <c r="A692" s="2" t="s">
        <v>4389</v>
      </c>
      <c r="B692" s="5">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6">
        <f>INDEX(products!$A$1:$G$49,MATCH(orders!$D692,products!$A$1:$A$49,0),MATCH(K$1,products!$A$1:$G$1,0))</f>
        <v>2.5</v>
      </c>
      <c r="L692" s="7">
        <f>INDEX(products!$A$1:$G$49,MATCH(orders!$D692,products!$A$1:$A$49,0),MATCH(L$1,products!$A$1:$G$1,0))</f>
        <v>29.784999999999997</v>
      </c>
      <c r="M692" s="7">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ID]],customers!$A$1:$A$1001,customers!$I$1:$I$1001,,0)</f>
        <v>No</v>
      </c>
    </row>
    <row r="693" spans="1:16" x14ac:dyDescent="0.35">
      <c r="A693" s="2" t="s">
        <v>4393</v>
      </c>
      <c r="B693" s="5">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6">
        <f>INDEX(products!$A$1:$G$49,MATCH(orders!$D693,products!$A$1:$A$49,0),MATCH(K$1,products!$A$1:$G$1,0))</f>
        <v>1</v>
      </c>
      <c r="L693" s="7">
        <f>INDEX(products!$A$1:$G$49,MATCH(orders!$D693,products!$A$1:$A$49,0),MATCH(L$1,products!$A$1:$G$1,0))</f>
        <v>11.25</v>
      </c>
      <c r="M693" s="7">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ID]],customers!$A$1:$A$1001,customers!$I$1:$I$1001,,0)</f>
        <v>No</v>
      </c>
    </row>
    <row r="694" spans="1:16" x14ac:dyDescent="0.35">
      <c r="A694" s="2" t="s">
        <v>4399</v>
      </c>
      <c r="B694" s="5">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6">
        <f>INDEX(products!$A$1:$G$49,MATCH(orders!$D694,products!$A$1:$A$49,0),MATCH(K$1,products!$A$1:$G$1,0))</f>
        <v>1</v>
      </c>
      <c r="L694" s="7">
        <f>INDEX(products!$A$1:$G$49,MATCH(orders!$D694,products!$A$1:$A$49,0),MATCH(L$1,products!$A$1:$G$1,0))</f>
        <v>12.95</v>
      </c>
      <c r="M694" s="7">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ID]],customers!$A$1:$A$1001,customers!$I$1:$I$1001,,0)</f>
        <v>No</v>
      </c>
    </row>
    <row r="695" spans="1:16" x14ac:dyDescent="0.35">
      <c r="A695" s="2" t="s">
        <v>4405</v>
      </c>
      <c r="B695" s="5">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6">
        <f>INDEX(products!$A$1:$G$49,MATCH(orders!$D695,products!$A$1:$A$49,0),MATCH(K$1,products!$A$1:$G$1,0))</f>
        <v>2.5</v>
      </c>
      <c r="L695" s="7">
        <f>INDEX(products!$A$1:$G$49,MATCH(orders!$D695,products!$A$1:$A$49,0),MATCH(L$1,products!$A$1:$G$1,0))</f>
        <v>25.874999999999996</v>
      </c>
      <c r="M695" s="7">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ID]],customers!$A$1:$A$1001,customers!$I$1:$I$1001,,0)</f>
        <v>Yes</v>
      </c>
    </row>
    <row r="696" spans="1:16" x14ac:dyDescent="0.35">
      <c r="A696" s="2" t="s">
        <v>4411</v>
      </c>
      <c r="B696" s="5">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6">
        <f>INDEX(products!$A$1:$G$49,MATCH(orders!$D696,products!$A$1:$A$49,0),MATCH(K$1,products!$A$1:$G$1,0))</f>
        <v>0.5</v>
      </c>
      <c r="L696" s="7">
        <f>INDEX(products!$A$1:$G$49,MATCH(orders!$D696,products!$A$1:$A$49,0),MATCH(L$1,products!$A$1:$G$1,0))</f>
        <v>7.29</v>
      </c>
      <c r="M696" s="7">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ID]],customers!$A$1:$A$1001,customers!$I$1:$I$1001,,0)</f>
        <v>No</v>
      </c>
    </row>
    <row r="697" spans="1:16" x14ac:dyDescent="0.35">
      <c r="A697" s="2" t="s">
        <v>4417</v>
      </c>
      <c r="B697" s="5">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6">
        <f>INDEX(products!$A$1:$G$49,MATCH(orders!$D697,products!$A$1:$A$49,0),MATCH(K$1,products!$A$1:$G$1,0))</f>
        <v>2.5</v>
      </c>
      <c r="L697" s="7">
        <f>INDEX(products!$A$1:$G$49,MATCH(orders!$D697,products!$A$1:$A$49,0),MATCH(L$1,products!$A$1:$G$1,0))</f>
        <v>36.454999999999998</v>
      </c>
      <c r="M697" s="7">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ID]],customers!$A$1:$A$1001,customers!$I$1:$I$1001,,0)</f>
        <v>Yes</v>
      </c>
    </row>
    <row r="698" spans="1:16" x14ac:dyDescent="0.35">
      <c r="A698" s="2" t="s">
        <v>4423</v>
      </c>
      <c r="B698" s="5">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6">
        <f>INDEX(products!$A$1:$G$49,MATCH(orders!$D698,products!$A$1:$A$49,0),MATCH(K$1,products!$A$1:$G$1,0))</f>
        <v>0.5</v>
      </c>
      <c r="L698" s="7">
        <f>INDEX(products!$A$1:$G$49,MATCH(orders!$D698,products!$A$1:$A$49,0),MATCH(L$1,products!$A$1:$G$1,0))</f>
        <v>7.77</v>
      </c>
      <c r="M698" s="7">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ID]],customers!$A$1:$A$1001,customers!$I$1:$I$1001,,0)</f>
        <v>No</v>
      </c>
    </row>
    <row r="699" spans="1:16" x14ac:dyDescent="0.35">
      <c r="A699" s="2" t="s">
        <v>4429</v>
      </c>
      <c r="B699" s="5">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6">
        <f>INDEX(products!$A$1:$G$49,MATCH(orders!$D699,products!$A$1:$A$49,0),MATCH(K$1,products!$A$1:$G$1,0))</f>
        <v>0.5</v>
      </c>
      <c r="L699" s="7">
        <f>INDEX(products!$A$1:$G$49,MATCH(orders!$D699,products!$A$1:$A$49,0),MATCH(L$1,products!$A$1:$G$1,0))</f>
        <v>6.75</v>
      </c>
      <c r="M699" s="7">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ID]],customers!$A$1:$A$1001,customers!$I$1:$I$1001,,0)</f>
        <v>No</v>
      </c>
    </row>
    <row r="700" spans="1:16" x14ac:dyDescent="0.35">
      <c r="A700" s="2" t="s">
        <v>4433</v>
      </c>
      <c r="B700" s="5">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6">
        <f>INDEX(products!$A$1:$G$49,MATCH(orders!$D700,products!$A$1:$A$49,0),MATCH(K$1,products!$A$1:$G$1,0))</f>
        <v>1</v>
      </c>
      <c r="L700" s="7">
        <f>INDEX(products!$A$1:$G$49,MATCH(orders!$D700,products!$A$1:$A$49,0),MATCH(L$1,products!$A$1:$G$1,0))</f>
        <v>12.95</v>
      </c>
      <c r="M700" s="7">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ID]],customers!$A$1:$A$1001,customers!$I$1:$I$1001,,0)</f>
        <v>No</v>
      </c>
    </row>
    <row r="701" spans="1:16" x14ac:dyDescent="0.35">
      <c r="A701" s="2" t="s">
        <v>4439</v>
      </c>
      <c r="B701" s="5">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6">
        <f>INDEX(products!$A$1:$G$49,MATCH(orders!$D701,products!$A$1:$A$49,0),MATCH(K$1,products!$A$1:$G$1,0))</f>
        <v>0.5</v>
      </c>
      <c r="L701" s="7">
        <f>INDEX(products!$A$1:$G$49,MATCH(orders!$D701,products!$A$1:$A$49,0),MATCH(L$1,products!$A$1:$G$1,0))</f>
        <v>5.97</v>
      </c>
      <c r="M701" s="7">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ID]],customers!$A$1:$A$1001,customers!$I$1:$I$1001,,0)</f>
        <v>Yes</v>
      </c>
    </row>
    <row r="702" spans="1:16" x14ac:dyDescent="0.35">
      <c r="A702" s="2" t="s">
        <v>4445</v>
      </c>
      <c r="B702" s="5">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6">
        <f>INDEX(products!$A$1:$G$49,MATCH(orders!$D702,products!$A$1:$A$49,0),MATCH(K$1,products!$A$1:$G$1,0))</f>
        <v>0.5</v>
      </c>
      <c r="L702" s="7">
        <f>INDEX(products!$A$1:$G$49,MATCH(orders!$D702,products!$A$1:$A$49,0),MATCH(L$1,products!$A$1:$G$1,0))</f>
        <v>9.51</v>
      </c>
      <c r="M702" s="7">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ID]],customers!$A$1:$A$1001,customers!$I$1:$I$1001,,0)</f>
        <v>No</v>
      </c>
    </row>
    <row r="703" spans="1:16" x14ac:dyDescent="0.35">
      <c r="A703" s="2" t="s">
        <v>4450</v>
      </c>
      <c r="B703" s="5">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6">
        <f>INDEX(products!$A$1:$G$49,MATCH(orders!$D703,products!$A$1:$A$49,0),MATCH(K$1,products!$A$1:$G$1,0))</f>
        <v>0.5</v>
      </c>
      <c r="L703" s="7">
        <f>INDEX(products!$A$1:$G$49,MATCH(orders!$D703,products!$A$1:$A$49,0),MATCH(L$1,products!$A$1:$G$1,0))</f>
        <v>5.97</v>
      </c>
      <c r="M703" s="7">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ID]],customers!$A$1:$A$1001,customers!$I$1:$I$1001,,0)</f>
        <v>Yes</v>
      </c>
    </row>
    <row r="704" spans="1:16" x14ac:dyDescent="0.35">
      <c r="A704" s="2" t="s">
        <v>4456</v>
      </c>
      <c r="B704" s="5">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6">
        <f>INDEX(products!$A$1:$G$49,MATCH(orders!$D704,products!$A$1:$A$49,0),MATCH(K$1,products!$A$1:$G$1,0))</f>
        <v>0.5</v>
      </c>
      <c r="L704" s="7">
        <f>INDEX(products!$A$1:$G$49,MATCH(orders!$D704,products!$A$1:$A$49,0),MATCH(L$1,products!$A$1:$G$1,0))</f>
        <v>7.77</v>
      </c>
      <c r="M704" s="7">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ID]],customers!$A$1:$A$1001,customers!$I$1:$I$1001,,0)</f>
        <v>Yes</v>
      </c>
    </row>
    <row r="705" spans="1:16" x14ac:dyDescent="0.35">
      <c r="A705" s="2" t="s">
        <v>4461</v>
      </c>
      <c r="B705" s="5">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6">
        <f>INDEX(products!$A$1:$G$49,MATCH(orders!$D705,products!$A$1:$A$49,0),MATCH(K$1,products!$A$1:$G$1,0))</f>
        <v>2.5</v>
      </c>
      <c r="L705" s="7">
        <f>INDEX(products!$A$1:$G$49,MATCH(orders!$D705,products!$A$1:$A$49,0),MATCH(L$1,products!$A$1:$G$1,0))</f>
        <v>29.784999999999997</v>
      </c>
      <c r="M705" s="7">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ID]],customers!$A$1:$A$1001,customers!$I$1:$I$1001,,0)</f>
        <v>Yes</v>
      </c>
    </row>
    <row r="706" spans="1:16" x14ac:dyDescent="0.35">
      <c r="A706" s="2" t="s">
        <v>4466</v>
      </c>
      <c r="B706" s="5">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6">
        <f>INDEX(products!$A$1:$G$49,MATCH(orders!$D706,products!$A$1:$A$49,0),MATCH(K$1,products!$A$1:$G$1,0))</f>
        <v>0.2</v>
      </c>
      <c r="L706" s="7">
        <f>INDEX(products!$A$1:$G$49,MATCH(orders!$D706,products!$A$1:$A$49,0),MATCH(L$1,products!$A$1:$G$1,0))</f>
        <v>3.645</v>
      </c>
      <c r="M706" s="7">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ID]],customers!$A$1:$A$1001,customers!$I$1:$I$1001,,0)</f>
        <v>Yes</v>
      </c>
    </row>
    <row r="707" spans="1:16" x14ac:dyDescent="0.35">
      <c r="A707" s="2" t="s">
        <v>4471</v>
      </c>
      <c r="B707" s="5">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6">
        <f>INDEX(products!$A$1:$G$49,MATCH(orders!$D707,products!$A$1:$A$49,0),MATCH(K$1,products!$A$1:$G$1,0))</f>
        <v>0.5</v>
      </c>
      <c r="L707" s="7">
        <f>INDEX(products!$A$1:$G$49,MATCH(orders!$D707,products!$A$1:$A$49,0),MATCH(L$1,products!$A$1:$G$1,0))</f>
        <v>8.91</v>
      </c>
      <c r="M707" s="7">
        <f t="shared" ref="M707:M770" si="11">PRODUCT(L707,E707)</f>
        <v>17.82</v>
      </c>
      <c r="N707" t="str" cm="1">
        <f t="array" ref="N707">_xlfn.IFS(I707="Rob","Robusta",I707="Exc","Excelsa",I707="Ara","Arabica",I707="Lib","Liberica")</f>
        <v>Excelsa</v>
      </c>
      <c r="O707" t="str" cm="1">
        <f t="array" ref="O707">_xlfn.IFS(J707="M","Medium",J707="L","Light",J707="D","Dark")</f>
        <v>Light</v>
      </c>
      <c r="P707" t="str">
        <f>_xlfn.XLOOKUP(Orders[[#This Row],[Customer ID]],customers!$A$1:$A$1001,customers!$I$1:$I$1001,,0)</f>
        <v>No</v>
      </c>
    </row>
    <row r="708" spans="1:16" x14ac:dyDescent="0.35">
      <c r="A708" s="2" t="s">
        <v>4477</v>
      </c>
      <c r="B708" s="5">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6">
        <f>INDEX(products!$A$1:$G$49,MATCH(orders!$D708,products!$A$1:$A$49,0),MATCH(K$1,products!$A$1:$G$1,0))</f>
        <v>0.2</v>
      </c>
      <c r="L708" s="7">
        <f>INDEX(products!$A$1:$G$49,MATCH(orders!$D708,products!$A$1:$A$49,0),MATCH(L$1,products!$A$1:$G$1,0))</f>
        <v>4.125</v>
      </c>
      <c r="M708" s="7">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ID]],customers!$A$1:$A$1001,customers!$I$1:$I$1001,,0)</f>
        <v>No</v>
      </c>
    </row>
    <row r="709" spans="1:16" x14ac:dyDescent="0.35">
      <c r="A709" s="2" t="s">
        <v>4483</v>
      </c>
      <c r="B709" s="5">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6">
        <f>INDEX(products!$A$1:$G$49,MATCH(orders!$D709,products!$A$1:$A$49,0),MATCH(K$1,products!$A$1:$G$1,0))</f>
        <v>1</v>
      </c>
      <c r="L709" s="7">
        <f>INDEX(products!$A$1:$G$49,MATCH(orders!$D709,products!$A$1:$A$49,0),MATCH(L$1,products!$A$1:$G$1,0))</f>
        <v>12.95</v>
      </c>
      <c r="M709" s="7">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ID]],customers!$A$1:$A$1001,customers!$I$1:$I$1001,,0)</f>
        <v>No</v>
      </c>
    </row>
    <row r="710" spans="1:16" x14ac:dyDescent="0.35">
      <c r="A710" s="2" t="s">
        <v>4488</v>
      </c>
      <c r="B710" s="5">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6">
        <f>INDEX(products!$A$1:$G$49,MATCH(orders!$D710,products!$A$1:$A$49,0),MATCH(K$1,products!$A$1:$G$1,0))</f>
        <v>0.5</v>
      </c>
      <c r="L710" s="7">
        <f>INDEX(products!$A$1:$G$49,MATCH(orders!$D710,products!$A$1:$A$49,0),MATCH(L$1,products!$A$1:$G$1,0))</f>
        <v>6.75</v>
      </c>
      <c r="M710" s="7">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ID]],customers!$A$1:$A$1001,customers!$I$1:$I$1001,,0)</f>
        <v>Yes</v>
      </c>
    </row>
    <row r="711" spans="1:16" x14ac:dyDescent="0.35">
      <c r="A711" s="2" t="s">
        <v>4494</v>
      </c>
      <c r="B711" s="5">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6">
        <f>INDEX(products!$A$1:$G$49,MATCH(orders!$D711,products!$A$1:$A$49,0),MATCH(K$1,products!$A$1:$G$1,0))</f>
        <v>0.5</v>
      </c>
      <c r="L711" s="7">
        <f>INDEX(products!$A$1:$G$49,MATCH(orders!$D711,products!$A$1:$A$49,0),MATCH(L$1,products!$A$1:$G$1,0))</f>
        <v>8.91</v>
      </c>
      <c r="M711" s="7">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ID]],customers!$A$1:$A$1001,customers!$I$1:$I$1001,,0)</f>
        <v>Yes</v>
      </c>
    </row>
    <row r="712" spans="1:16" x14ac:dyDescent="0.35">
      <c r="A712" s="2" t="s">
        <v>4499</v>
      </c>
      <c r="B712" s="5">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6">
        <f>INDEX(products!$A$1:$G$49,MATCH(orders!$D712,products!$A$1:$A$49,0),MATCH(K$1,products!$A$1:$G$1,0))</f>
        <v>0.5</v>
      </c>
      <c r="L712" s="7">
        <f>INDEX(products!$A$1:$G$49,MATCH(orders!$D712,products!$A$1:$A$49,0),MATCH(L$1,products!$A$1:$G$1,0))</f>
        <v>8.25</v>
      </c>
      <c r="M712" s="7">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ID]],customers!$A$1:$A$1001,customers!$I$1:$I$1001,,0)</f>
        <v>No</v>
      </c>
    </row>
    <row r="713" spans="1:16" x14ac:dyDescent="0.35">
      <c r="A713" s="2" t="s">
        <v>4505</v>
      </c>
      <c r="B713" s="5">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6">
        <f>INDEX(products!$A$1:$G$49,MATCH(orders!$D713,products!$A$1:$A$49,0),MATCH(K$1,products!$A$1:$G$1,0))</f>
        <v>0.2</v>
      </c>
      <c r="L713" s="7">
        <f>INDEX(products!$A$1:$G$49,MATCH(orders!$D713,products!$A$1:$A$49,0),MATCH(L$1,products!$A$1:$G$1,0))</f>
        <v>2.9849999999999999</v>
      </c>
      <c r="M713" s="7">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ID]],customers!$A$1:$A$1001,customers!$I$1:$I$1001,,0)</f>
        <v>No</v>
      </c>
    </row>
    <row r="714" spans="1:16" x14ac:dyDescent="0.35">
      <c r="A714" s="2" t="s">
        <v>4512</v>
      </c>
      <c r="B714" s="5">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6">
        <f>INDEX(products!$A$1:$G$49,MATCH(orders!$D714,products!$A$1:$A$49,0),MATCH(K$1,products!$A$1:$G$1,0))</f>
        <v>0.5</v>
      </c>
      <c r="L714" s="7">
        <f>INDEX(products!$A$1:$G$49,MATCH(orders!$D714,products!$A$1:$A$49,0),MATCH(L$1,products!$A$1:$G$1,0))</f>
        <v>8.25</v>
      </c>
      <c r="M714" s="7">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ID]],customers!$A$1:$A$1001,customers!$I$1:$I$1001,,0)</f>
        <v>No</v>
      </c>
    </row>
    <row r="715" spans="1:16" x14ac:dyDescent="0.35">
      <c r="A715" s="2" t="s">
        <v>4516</v>
      </c>
      <c r="B715" s="5">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6">
        <f>INDEX(products!$A$1:$G$49,MATCH(orders!$D715,products!$A$1:$A$49,0),MATCH(K$1,products!$A$1:$G$1,0))</f>
        <v>0.2</v>
      </c>
      <c r="L715" s="7">
        <f>INDEX(products!$A$1:$G$49,MATCH(orders!$D715,products!$A$1:$A$49,0),MATCH(L$1,products!$A$1:$G$1,0))</f>
        <v>2.9849999999999999</v>
      </c>
      <c r="M715" s="7">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ID]],customers!$A$1:$A$1001,customers!$I$1:$I$1001,,0)</f>
        <v>No</v>
      </c>
    </row>
    <row r="716" spans="1:16" x14ac:dyDescent="0.35">
      <c r="A716" s="2" t="s">
        <v>4522</v>
      </c>
      <c r="B716" s="5">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6">
        <f>INDEX(products!$A$1:$G$49,MATCH(orders!$D716,products!$A$1:$A$49,0),MATCH(K$1,products!$A$1:$G$1,0))</f>
        <v>0.2</v>
      </c>
      <c r="L716" s="7">
        <f>INDEX(products!$A$1:$G$49,MATCH(orders!$D716,products!$A$1:$A$49,0),MATCH(L$1,products!$A$1:$G$1,0))</f>
        <v>3.645</v>
      </c>
      <c r="M716" s="7">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ID]],customers!$A$1:$A$1001,customers!$I$1:$I$1001,,0)</f>
        <v>Yes</v>
      </c>
    </row>
    <row r="717" spans="1:16" x14ac:dyDescent="0.35">
      <c r="A717" s="2" t="s">
        <v>4528</v>
      </c>
      <c r="B717" s="5">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6">
        <f>INDEX(products!$A$1:$G$49,MATCH(orders!$D717,products!$A$1:$A$49,0),MATCH(K$1,products!$A$1:$G$1,0))</f>
        <v>1</v>
      </c>
      <c r="L717" s="7">
        <f>INDEX(products!$A$1:$G$49,MATCH(orders!$D717,products!$A$1:$A$49,0),MATCH(L$1,products!$A$1:$G$1,0))</f>
        <v>14.85</v>
      </c>
      <c r="M717" s="7">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ID]],customers!$A$1:$A$1001,customers!$I$1:$I$1001,,0)</f>
        <v>No</v>
      </c>
    </row>
    <row r="718" spans="1:16" x14ac:dyDescent="0.35">
      <c r="A718" s="2" t="s">
        <v>4533</v>
      </c>
      <c r="B718" s="5">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6">
        <f>INDEX(products!$A$1:$G$49,MATCH(orders!$D718,products!$A$1:$A$49,0),MATCH(K$1,products!$A$1:$G$1,0))</f>
        <v>1</v>
      </c>
      <c r="L718" s="7">
        <f>INDEX(products!$A$1:$G$49,MATCH(orders!$D718,products!$A$1:$A$49,0),MATCH(L$1,products!$A$1:$G$1,0))</f>
        <v>11.95</v>
      </c>
      <c r="M718" s="7">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ID]],customers!$A$1:$A$1001,customers!$I$1:$I$1001,,0)</f>
        <v>No</v>
      </c>
    </row>
    <row r="719" spans="1:16" x14ac:dyDescent="0.35">
      <c r="A719" s="2" t="s">
        <v>4539</v>
      </c>
      <c r="B719" s="5">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6">
        <f>INDEX(products!$A$1:$G$49,MATCH(orders!$D719,products!$A$1:$A$49,0),MATCH(K$1,products!$A$1:$G$1,0))</f>
        <v>2.5</v>
      </c>
      <c r="L719" s="7">
        <f>INDEX(products!$A$1:$G$49,MATCH(orders!$D719,products!$A$1:$A$49,0),MATCH(L$1,products!$A$1:$G$1,0))</f>
        <v>22.884999999999998</v>
      </c>
      <c r="M719" s="7">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ID]],customers!$A$1:$A$1001,customers!$I$1:$I$1001,,0)</f>
        <v>No</v>
      </c>
    </row>
    <row r="720" spans="1:16" x14ac:dyDescent="0.35">
      <c r="A720" s="2" t="s">
        <v>4545</v>
      </c>
      <c r="B720" s="5">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6">
        <f>INDEX(products!$A$1:$G$49,MATCH(orders!$D720,products!$A$1:$A$49,0),MATCH(K$1,products!$A$1:$G$1,0))</f>
        <v>1</v>
      </c>
      <c r="L720" s="7">
        <f>INDEX(products!$A$1:$G$49,MATCH(orders!$D720,products!$A$1:$A$49,0),MATCH(L$1,products!$A$1:$G$1,0))</f>
        <v>12.95</v>
      </c>
      <c r="M720" s="7">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ID]],customers!$A$1:$A$1001,customers!$I$1:$I$1001,,0)</f>
        <v>No</v>
      </c>
    </row>
    <row r="721" spans="1:16" x14ac:dyDescent="0.35">
      <c r="A721" s="2" t="s">
        <v>4551</v>
      </c>
      <c r="B721" s="5">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6">
        <f>INDEX(products!$A$1:$G$49,MATCH(orders!$D721,products!$A$1:$A$49,0),MATCH(K$1,products!$A$1:$G$1,0))</f>
        <v>1</v>
      </c>
      <c r="L721" s="7">
        <f>INDEX(products!$A$1:$G$49,MATCH(orders!$D721,products!$A$1:$A$49,0),MATCH(L$1,products!$A$1:$G$1,0))</f>
        <v>15.85</v>
      </c>
      <c r="M721" s="7">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ID]],customers!$A$1:$A$1001,customers!$I$1:$I$1001,,0)</f>
        <v>Yes</v>
      </c>
    </row>
    <row r="722" spans="1:16" x14ac:dyDescent="0.35">
      <c r="A722" s="2" t="s">
        <v>4557</v>
      </c>
      <c r="B722" s="5">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6">
        <f>INDEX(products!$A$1:$G$49,MATCH(orders!$D722,products!$A$1:$A$49,0),MATCH(K$1,products!$A$1:$G$1,0))</f>
        <v>0.5</v>
      </c>
      <c r="L722" s="7">
        <f>INDEX(products!$A$1:$G$49,MATCH(orders!$D722,products!$A$1:$A$49,0),MATCH(L$1,products!$A$1:$G$1,0))</f>
        <v>7.29</v>
      </c>
      <c r="M722" s="7">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ID]],customers!$A$1:$A$1001,customers!$I$1:$I$1001,,0)</f>
        <v>Yes</v>
      </c>
    </row>
    <row r="723" spans="1:16" x14ac:dyDescent="0.35">
      <c r="A723" s="2" t="s">
        <v>4563</v>
      </c>
      <c r="B723" s="5">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6">
        <f>INDEX(products!$A$1:$G$49,MATCH(orders!$D723,products!$A$1:$A$49,0),MATCH(K$1,products!$A$1:$G$1,0))</f>
        <v>0.2</v>
      </c>
      <c r="L723" s="7">
        <f>INDEX(products!$A$1:$G$49,MATCH(orders!$D723,products!$A$1:$A$49,0),MATCH(L$1,products!$A$1:$G$1,0))</f>
        <v>2.9849999999999999</v>
      </c>
      <c r="M723" s="7">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ID]],customers!$A$1:$A$1001,customers!$I$1:$I$1001,,0)</f>
        <v>Yes</v>
      </c>
    </row>
    <row r="724" spans="1:16" x14ac:dyDescent="0.35">
      <c r="A724" s="2" t="s">
        <v>4569</v>
      </c>
      <c r="B724" s="5">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6">
        <f>INDEX(products!$A$1:$G$49,MATCH(orders!$D724,products!$A$1:$A$49,0),MATCH(K$1,products!$A$1:$G$1,0))</f>
        <v>1</v>
      </c>
      <c r="L724" s="7">
        <f>INDEX(products!$A$1:$G$49,MATCH(orders!$D724,products!$A$1:$A$49,0),MATCH(L$1,products!$A$1:$G$1,0))</f>
        <v>12.15</v>
      </c>
      <c r="M724" s="7">
        <f t="shared" si="11"/>
        <v>24.3</v>
      </c>
      <c r="N724" t="str" cm="1">
        <f t="array" ref="N724">_xlfn.IFS(I724="Rob","Robusta",I724="Exc","Excelsa",I724="Ara","Arabica",I724="Lib","Liberica")</f>
        <v>Excelsa</v>
      </c>
      <c r="O724" t="str" cm="1">
        <f t="array" ref="O724">_xlfn.IFS(J724="M","Medium",J724="L","Light",J724="D","Dark")</f>
        <v>Dark</v>
      </c>
      <c r="P724" t="str">
        <f>_xlfn.XLOOKUP(Orders[[#This Row],[Customer ID]],customers!$A$1:$A$1001,customers!$I$1:$I$1001,,0)</f>
        <v>No</v>
      </c>
    </row>
    <row r="725" spans="1:16" x14ac:dyDescent="0.35">
      <c r="A725" s="2" t="s">
        <v>4574</v>
      </c>
      <c r="B725" s="5">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6">
        <f>INDEX(products!$A$1:$G$49,MATCH(orders!$D725,products!$A$1:$A$49,0),MATCH(K$1,products!$A$1:$G$1,0))</f>
        <v>2.5</v>
      </c>
      <c r="L725" s="7">
        <f>INDEX(products!$A$1:$G$49,MATCH(orders!$D725,products!$A$1:$A$49,0),MATCH(L$1,products!$A$1:$G$1,0))</f>
        <v>31.624999999999996</v>
      </c>
      <c r="M725" s="7">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ID]],customers!$A$1:$A$1001,customers!$I$1:$I$1001,,0)</f>
        <v>No</v>
      </c>
    </row>
    <row r="726" spans="1:16" x14ac:dyDescent="0.35">
      <c r="A726" s="2" t="s">
        <v>4580</v>
      </c>
      <c r="B726" s="5">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6">
        <f>INDEX(products!$A$1:$G$49,MATCH(orders!$D726,products!$A$1:$A$49,0),MATCH(K$1,products!$A$1:$G$1,0))</f>
        <v>0.2</v>
      </c>
      <c r="L726" s="7">
        <f>INDEX(products!$A$1:$G$49,MATCH(orders!$D726,products!$A$1:$A$49,0),MATCH(L$1,products!$A$1:$G$1,0))</f>
        <v>3.375</v>
      </c>
      <c r="M726" s="7">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ID]],customers!$A$1:$A$1001,customers!$I$1:$I$1001,,0)</f>
        <v>Yes</v>
      </c>
    </row>
    <row r="727" spans="1:16" x14ac:dyDescent="0.35">
      <c r="A727" s="2" t="s">
        <v>4585</v>
      </c>
      <c r="B727" s="5">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6">
        <f>INDEX(products!$A$1:$G$49,MATCH(orders!$D727,products!$A$1:$A$49,0),MATCH(K$1,products!$A$1:$G$1,0))</f>
        <v>0.2</v>
      </c>
      <c r="L727" s="7">
        <f>INDEX(products!$A$1:$G$49,MATCH(orders!$D727,products!$A$1:$A$49,0),MATCH(L$1,products!$A$1:$G$1,0))</f>
        <v>3.8849999999999998</v>
      </c>
      <c r="M727" s="7">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ID]],customers!$A$1:$A$1001,customers!$I$1:$I$1001,,0)</f>
        <v>No</v>
      </c>
    </row>
    <row r="728" spans="1:16" x14ac:dyDescent="0.35">
      <c r="A728" s="2" t="s">
        <v>4591</v>
      </c>
      <c r="B728" s="5">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6">
        <f>INDEX(products!$A$1:$G$49,MATCH(orders!$D728,products!$A$1:$A$49,0),MATCH(K$1,products!$A$1:$G$1,0))</f>
        <v>2.5</v>
      </c>
      <c r="L728" s="7">
        <f>INDEX(products!$A$1:$G$49,MATCH(orders!$D728,products!$A$1:$A$49,0),MATCH(L$1,products!$A$1:$G$1,0))</f>
        <v>36.454999999999998</v>
      </c>
      <c r="M728" s="7">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ID]],customers!$A$1:$A$1001,customers!$I$1:$I$1001,,0)</f>
        <v>No</v>
      </c>
    </row>
    <row r="729" spans="1:16" x14ac:dyDescent="0.35">
      <c r="A729" s="2" t="s">
        <v>4596</v>
      </c>
      <c r="B729" s="5">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6">
        <f>INDEX(products!$A$1:$G$49,MATCH(orders!$D729,products!$A$1:$A$49,0),MATCH(K$1,products!$A$1:$G$1,0))</f>
        <v>0.5</v>
      </c>
      <c r="L729" s="7">
        <f>INDEX(products!$A$1:$G$49,MATCH(orders!$D729,products!$A$1:$A$49,0),MATCH(L$1,products!$A$1:$G$1,0))</f>
        <v>5.97</v>
      </c>
      <c r="M729" s="7">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ID]],customers!$A$1:$A$1001,customers!$I$1:$I$1001,,0)</f>
        <v>Yes</v>
      </c>
    </row>
    <row r="730" spans="1:16" x14ac:dyDescent="0.35">
      <c r="A730" s="2" t="s">
        <v>4602</v>
      </c>
      <c r="B730" s="5">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6">
        <f>INDEX(products!$A$1:$G$49,MATCH(orders!$D730,products!$A$1:$A$49,0),MATCH(K$1,products!$A$1:$G$1,0))</f>
        <v>0.5</v>
      </c>
      <c r="L730" s="7">
        <f>INDEX(products!$A$1:$G$49,MATCH(orders!$D730,products!$A$1:$A$49,0),MATCH(L$1,products!$A$1:$G$1,0))</f>
        <v>7.29</v>
      </c>
      <c r="M730" s="7">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ID]],customers!$A$1:$A$1001,customers!$I$1:$I$1001,,0)</f>
        <v>Yes</v>
      </c>
    </row>
    <row r="731" spans="1:16" x14ac:dyDescent="0.35">
      <c r="A731" s="2" t="s">
        <v>4608</v>
      </c>
      <c r="B731" s="5">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6">
        <f>INDEX(products!$A$1:$G$49,MATCH(orders!$D731,products!$A$1:$A$49,0),MATCH(K$1,products!$A$1:$G$1,0))</f>
        <v>0.2</v>
      </c>
      <c r="L731" s="7">
        <f>INDEX(products!$A$1:$G$49,MATCH(orders!$D731,products!$A$1:$A$49,0),MATCH(L$1,products!$A$1:$G$1,0))</f>
        <v>4.3650000000000002</v>
      </c>
      <c r="M731" s="7">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ID]],customers!$A$1:$A$1001,customers!$I$1:$I$1001,,0)</f>
        <v>No</v>
      </c>
    </row>
    <row r="732" spans="1:16" x14ac:dyDescent="0.35">
      <c r="A732" s="2" t="s">
        <v>4614</v>
      </c>
      <c r="B732" s="5">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6">
        <f>INDEX(products!$A$1:$G$49,MATCH(orders!$D732,products!$A$1:$A$49,0),MATCH(K$1,products!$A$1:$G$1,0))</f>
        <v>2.5</v>
      </c>
      <c r="L732" s="7">
        <f>INDEX(products!$A$1:$G$49,MATCH(orders!$D732,products!$A$1:$A$49,0),MATCH(L$1,products!$A$1:$G$1,0))</f>
        <v>36.454999999999998</v>
      </c>
      <c r="M732" s="7">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ID]],customers!$A$1:$A$1001,customers!$I$1:$I$1001,,0)</f>
        <v>No</v>
      </c>
    </row>
    <row r="733" spans="1:16" x14ac:dyDescent="0.35">
      <c r="A733" s="2" t="s">
        <v>4620</v>
      </c>
      <c r="B733" s="5">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6">
        <f>INDEX(products!$A$1:$G$49,MATCH(orders!$D733,products!$A$1:$A$49,0),MATCH(K$1,products!$A$1:$G$1,0))</f>
        <v>0.2</v>
      </c>
      <c r="L733" s="7">
        <f>INDEX(products!$A$1:$G$49,MATCH(orders!$D733,products!$A$1:$A$49,0),MATCH(L$1,products!$A$1:$G$1,0))</f>
        <v>3.8849999999999998</v>
      </c>
      <c r="M733" s="7">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ID]],customers!$A$1:$A$1001,customers!$I$1:$I$1001,,0)</f>
        <v>Yes</v>
      </c>
    </row>
    <row r="734" spans="1:16" x14ac:dyDescent="0.35">
      <c r="A734" s="2" t="s">
        <v>4625</v>
      </c>
      <c r="B734" s="5">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6">
        <f>INDEX(products!$A$1:$G$49,MATCH(orders!$D734,products!$A$1:$A$49,0),MATCH(K$1,products!$A$1:$G$1,0))</f>
        <v>0.2</v>
      </c>
      <c r="L734" s="7">
        <f>INDEX(products!$A$1:$G$49,MATCH(orders!$D734,products!$A$1:$A$49,0),MATCH(L$1,products!$A$1:$G$1,0))</f>
        <v>4.4550000000000001</v>
      </c>
      <c r="M734" s="7">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ID]],customers!$A$1:$A$1001,customers!$I$1:$I$1001,,0)</f>
        <v>No</v>
      </c>
    </row>
    <row r="735" spans="1:16" x14ac:dyDescent="0.35">
      <c r="A735" s="2" t="s">
        <v>4631</v>
      </c>
      <c r="B735" s="5">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6">
        <f>INDEX(products!$A$1:$G$49,MATCH(orders!$D735,products!$A$1:$A$49,0),MATCH(K$1,products!$A$1:$G$1,0))</f>
        <v>2.5</v>
      </c>
      <c r="L735" s="7">
        <f>INDEX(products!$A$1:$G$49,MATCH(orders!$D735,products!$A$1:$A$49,0),MATCH(L$1,products!$A$1:$G$1,0))</f>
        <v>33.464999999999996</v>
      </c>
      <c r="M735" s="7">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ID]],customers!$A$1:$A$1001,customers!$I$1:$I$1001,,0)</f>
        <v>Yes</v>
      </c>
    </row>
    <row r="736" spans="1:16" x14ac:dyDescent="0.35">
      <c r="A736" s="2" t="s">
        <v>4637</v>
      </c>
      <c r="B736" s="5">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6">
        <f>INDEX(products!$A$1:$G$49,MATCH(orders!$D736,products!$A$1:$A$49,0),MATCH(K$1,products!$A$1:$G$1,0))</f>
        <v>0.2</v>
      </c>
      <c r="L736" s="7">
        <f>INDEX(products!$A$1:$G$49,MATCH(orders!$D736,products!$A$1:$A$49,0),MATCH(L$1,products!$A$1:$G$1,0))</f>
        <v>2.6849999999999996</v>
      </c>
      <c r="M736" s="7">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ID]],customers!$A$1:$A$1001,customers!$I$1:$I$1001,,0)</f>
        <v>No</v>
      </c>
    </row>
    <row r="737" spans="1:16" x14ac:dyDescent="0.35">
      <c r="A737" s="2" t="s">
        <v>4642</v>
      </c>
      <c r="B737" s="5">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6">
        <f>INDEX(products!$A$1:$G$49,MATCH(orders!$D737,products!$A$1:$A$49,0),MATCH(K$1,products!$A$1:$G$1,0))</f>
        <v>0.2</v>
      </c>
      <c r="L737" s="7">
        <f>INDEX(products!$A$1:$G$49,MATCH(orders!$D737,products!$A$1:$A$49,0),MATCH(L$1,products!$A$1:$G$1,0))</f>
        <v>3.645</v>
      </c>
      <c r="M737" s="7">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ID]],customers!$A$1:$A$1001,customers!$I$1:$I$1001,,0)</f>
        <v>No</v>
      </c>
    </row>
    <row r="738" spans="1:16" x14ac:dyDescent="0.35">
      <c r="A738" s="2" t="s">
        <v>4647</v>
      </c>
      <c r="B738" s="5">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6">
        <f>INDEX(products!$A$1:$G$49,MATCH(orders!$D738,products!$A$1:$A$49,0),MATCH(K$1,products!$A$1:$G$1,0))</f>
        <v>1</v>
      </c>
      <c r="L738" s="7">
        <f>INDEX(products!$A$1:$G$49,MATCH(orders!$D738,products!$A$1:$A$49,0),MATCH(L$1,products!$A$1:$G$1,0))</f>
        <v>12.95</v>
      </c>
      <c r="M738" s="7">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ID]],customers!$A$1:$A$1001,customers!$I$1:$I$1001,,0)</f>
        <v>Yes</v>
      </c>
    </row>
    <row r="739" spans="1:16" x14ac:dyDescent="0.35">
      <c r="A739" s="2" t="s">
        <v>4653</v>
      </c>
      <c r="B739" s="5">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6">
        <f>INDEX(products!$A$1:$G$49,MATCH(orders!$D739,products!$A$1:$A$49,0),MATCH(K$1,products!$A$1:$G$1,0))</f>
        <v>1</v>
      </c>
      <c r="L739" s="7">
        <f>INDEX(products!$A$1:$G$49,MATCH(orders!$D739,products!$A$1:$A$49,0),MATCH(L$1,products!$A$1:$G$1,0))</f>
        <v>11.25</v>
      </c>
      <c r="M739" s="7">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ID]],customers!$A$1:$A$1001,customers!$I$1:$I$1001,,0)</f>
        <v>No</v>
      </c>
    </row>
    <row r="740" spans="1:16" x14ac:dyDescent="0.35">
      <c r="A740" s="2" t="s">
        <v>4659</v>
      </c>
      <c r="B740" s="5">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6">
        <f>INDEX(products!$A$1:$G$49,MATCH(orders!$D740,products!$A$1:$A$49,0),MATCH(K$1,products!$A$1:$G$1,0))</f>
        <v>0.2</v>
      </c>
      <c r="L740" s="7">
        <f>INDEX(products!$A$1:$G$49,MATCH(orders!$D740,products!$A$1:$A$49,0),MATCH(L$1,products!$A$1:$G$1,0))</f>
        <v>3.5849999999999995</v>
      </c>
      <c r="M740" s="7">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ID]],customers!$A$1:$A$1001,customers!$I$1:$I$1001,,0)</f>
        <v>No</v>
      </c>
    </row>
    <row r="741" spans="1:16" x14ac:dyDescent="0.35">
      <c r="A741" s="2" t="s">
        <v>4665</v>
      </c>
      <c r="B741" s="5">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6">
        <f>INDEX(products!$A$1:$G$49,MATCH(orders!$D741,products!$A$1:$A$49,0),MATCH(K$1,products!$A$1:$G$1,0))</f>
        <v>0.2</v>
      </c>
      <c r="L741" s="7">
        <f>INDEX(products!$A$1:$G$49,MATCH(orders!$D741,products!$A$1:$A$49,0),MATCH(L$1,products!$A$1:$G$1,0))</f>
        <v>3.645</v>
      </c>
      <c r="M741" s="7">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ID]],customers!$A$1:$A$1001,customers!$I$1:$I$1001,,0)</f>
        <v>No</v>
      </c>
    </row>
    <row r="742" spans="1:16" x14ac:dyDescent="0.35">
      <c r="A742" s="2" t="s">
        <v>4670</v>
      </c>
      <c r="B742" s="5">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6">
        <f>INDEX(products!$A$1:$G$49,MATCH(orders!$D742,products!$A$1:$A$49,0),MATCH(K$1,products!$A$1:$G$1,0))</f>
        <v>0.5</v>
      </c>
      <c r="L742" s="7">
        <f>INDEX(products!$A$1:$G$49,MATCH(orders!$D742,products!$A$1:$A$49,0),MATCH(L$1,products!$A$1:$G$1,0))</f>
        <v>7.169999999999999</v>
      </c>
      <c r="M742" s="7">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ID]],customers!$A$1:$A$1001,customers!$I$1:$I$1001,,0)</f>
        <v>No</v>
      </c>
    </row>
    <row r="743" spans="1:16" x14ac:dyDescent="0.35">
      <c r="A743" s="2" t="s">
        <v>4676</v>
      </c>
      <c r="B743" s="5">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6">
        <f>INDEX(products!$A$1:$G$49,MATCH(orders!$D743,products!$A$1:$A$49,0),MATCH(K$1,products!$A$1:$G$1,0))</f>
        <v>0.2</v>
      </c>
      <c r="L743" s="7">
        <f>INDEX(products!$A$1:$G$49,MATCH(orders!$D743,products!$A$1:$A$49,0),MATCH(L$1,products!$A$1:$G$1,0))</f>
        <v>4.3650000000000002</v>
      </c>
      <c r="M743" s="7">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ID]],customers!$A$1:$A$1001,customers!$I$1:$I$1001,,0)</f>
        <v>No</v>
      </c>
    </row>
    <row r="744" spans="1:16" x14ac:dyDescent="0.35">
      <c r="A744" s="2" t="s">
        <v>4682</v>
      </c>
      <c r="B744" s="5">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6">
        <f>INDEX(products!$A$1:$G$49,MATCH(orders!$D744,products!$A$1:$A$49,0),MATCH(K$1,products!$A$1:$G$1,0))</f>
        <v>1</v>
      </c>
      <c r="L744" s="7">
        <f>INDEX(products!$A$1:$G$49,MATCH(orders!$D744,products!$A$1:$A$49,0),MATCH(L$1,products!$A$1:$G$1,0))</f>
        <v>14.55</v>
      </c>
      <c r="M744" s="7">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ID]],customers!$A$1:$A$1001,customers!$I$1:$I$1001,,0)</f>
        <v>No</v>
      </c>
    </row>
    <row r="745" spans="1:16" x14ac:dyDescent="0.35">
      <c r="A745" s="2" t="s">
        <v>4688</v>
      </c>
      <c r="B745" s="5">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6">
        <f>INDEX(products!$A$1:$G$49,MATCH(orders!$D745,products!$A$1:$A$49,0),MATCH(K$1,products!$A$1:$G$1,0))</f>
        <v>0.5</v>
      </c>
      <c r="L745" s="7">
        <f>INDEX(products!$A$1:$G$49,MATCH(orders!$D745,products!$A$1:$A$49,0),MATCH(L$1,products!$A$1:$G$1,0))</f>
        <v>5.97</v>
      </c>
      <c r="M745" s="7">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ID]],customers!$A$1:$A$1001,customers!$I$1:$I$1001,,0)</f>
        <v>No</v>
      </c>
    </row>
    <row r="746" spans="1:16" x14ac:dyDescent="0.35">
      <c r="A746" s="2" t="s">
        <v>4694</v>
      </c>
      <c r="B746" s="5">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6">
        <f>INDEX(products!$A$1:$G$49,MATCH(orders!$D746,products!$A$1:$A$49,0),MATCH(K$1,products!$A$1:$G$1,0))</f>
        <v>0.2</v>
      </c>
      <c r="L746" s="7">
        <f>INDEX(products!$A$1:$G$49,MATCH(orders!$D746,products!$A$1:$A$49,0),MATCH(L$1,products!$A$1:$G$1,0))</f>
        <v>2.9849999999999999</v>
      </c>
      <c r="M746" s="7">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ID]],customers!$A$1:$A$1001,customers!$I$1:$I$1001,,0)</f>
        <v>Yes</v>
      </c>
    </row>
    <row r="747" spans="1:16" x14ac:dyDescent="0.35">
      <c r="A747" s="2" t="s">
        <v>4699</v>
      </c>
      <c r="B747" s="5">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6">
        <f>INDEX(products!$A$1:$G$49,MATCH(orders!$D747,products!$A$1:$A$49,0),MATCH(K$1,products!$A$1:$G$1,0))</f>
        <v>0.5</v>
      </c>
      <c r="L747" s="7">
        <f>INDEX(products!$A$1:$G$49,MATCH(orders!$D747,products!$A$1:$A$49,0),MATCH(L$1,products!$A$1:$G$1,0))</f>
        <v>7.29</v>
      </c>
      <c r="M747" s="7">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ID]],customers!$A$1:$A$1001,customers!$I$1:$I$1001,,0)</f>
        <v>No</v>
      </c>
    </row>
    <row r="748" spans="1:16" x14ac:dyDescent="0.35">
      <c r="A748" s="2" t="s">
        <v>4705</v>
      </c>
      <c r="B748" s="5">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6">
        <f>INDEX(products!$A$1:$G$49,MATCH(orders!$D748,products!$A$1:$A$49,0),MATCH(K$1,products!$A$1:$G$1,0))</f>
        <v>1</v>
      </c>
      <c r="L748" s="7">
        <f>INDEX(products!$A$1:$G$49,MATCH(orders!$D748,products!$A$1:$A$49,0),MATCH(L$1,products!$A$1:$G$1,0))</f>
        <v>11.25</v>
      </c>
      <c r="M748" s="7">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ID]],customers!$A$1:$A$1001,customers!$I$1:$I$1001,,0)</f>
        <v>No</v>
      </c>
    </row>
    <row r="749" spans="1:16" x14ac:dyDescent="0.35">
      <c r="A749" s="2" t="s">
        <v>4711</v>
      </c>
      <c r="B749" s="5">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6">
        <f>INDEX(products!$A$1:$G$49,MATCH(orders!$D749,products!$A$1:$A$49,0),MATCH(K$1,products!$A$1:$G$1,0))</f>
        <v>0.5</v>
      </c>
      <c r="L749" s="7">
        <f>INDEX(products!$A$1:$G$49,MATCH(orders!$D749,products!$A$1:$A$49,0),MATCH(L$1,products!$A$1:$G$1,0))</f>
        <v>8.73</v>
      </c>
      <c r="M749" s="7">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ID]],customers!$A$1:$A$1001,customers!$I$1:$I$1001,,0)</f>
        <v>Yes</v>
      </c>
    </row>
    <row r="750" spans="1:16" x14ac:dyDescent="0.35">
      <c r="A750" s="2" t="s">
        <v>4717</v>
      </c>
      <c r="B750" s="5">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6">
        <f>INDEX(products!$A$1:$G$49,MATCH(orders!$D750,products!$A$1:$A$49,0),MATCH(K$1,products!$A$1:$G$1,0))</f>
        <v>0.5</v>
      </c>
      <c r="L750" s="7">
        <f>INDEX(products!$A$1:$G$49,MATCH(orders!$D750,products!$A$1:$A$49,0),MATCH(L$1,products!$A$1:$G$1,0))</f>
        <v>7.29</v>
      </c>
      <c r="M750" s="7">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ID]],customers!$A$1:$A$1001,customers!$I$1:$I$1001,,0)</f>
        <v>No</v>
      </c>
    </row>
    <row r="751" spans="1:16" x14ac:dyDescent="0.35">
      <c r="A751" s="2" t="s">
        <v>4723</v>
      </c>
      <c r="B751" s="5">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6">
        <f>INDEX(products!$A$1:$G$49,MATCH(orders!$D751,products!$A$1:$A$49,0),MATCH(K$1,products!$A$1:$G$1,0))</f>
        <v>0.2</v>
      </c>
      <c r="L751" s="7">
        <f>INDEX(products!$A$1:$G$49,MATCH(orders!$D751,products!$A$1:$A$49,0),MATCH(L$1,products!$A$1:$G$1,0))</f>
        <v>2.6849999999999996</v>
      </c>
      <c r="M751" s="7">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ID]],customers!$A$1:$A$1001,customers!$I$1:$I$1001,,0)</f>
        <v>Yes</v>
      </c>
    </row>
    <row r="752" spans="1:16" x14ac:dyDescent="0.35">
      <c r="A752" s="2" t="s">
        <v>4730</v>
      </c>
      <c r="B752" s="5">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6">
        <f>INDEX(products!$A$1:$G$49,MATCH(orders!$D752,products!$A$1:$A$49,0),MATCH(K$1,products!$A$1:$G$1,0))</f>
        <v>0.5</v>
      </c>
      <c r="L752" s="7">
        <f>INDEX(products!$A$1:$G$49,MATCH(orders!$D752,products!$A$1:$A$49,0),MATCH(L$1,products!$A$1:$G$1,0))</f>
        <v>5.97</v>
      </c>
      <c r="M752" s="7">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ID]],customers!$A$1:$A$1001,customers!$I$1:$I$1001,,0)</f>
        <v>Yes</v>
      </c>
    </row>
    <row r="753" spans="1:16" x14ac:dyDescent="0.35">
      <c r="A753" s="2" t="s">
        <v>4735</v>
      </c>
      <c r="B753" s="5">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6">
        <f>INDEX(products!$A$1:$G$49,MATCH(orders!$D753,products!$A$1:$A$49,0),MATCH(K$1,products!$A$1:$G$1,0))</f>
        <v>0.5</v>
      </c>
      <c r="L753" s="7">
        <f>INDEX(products!$A$1:$G$49,MATCH(orders!$D753,products!$A$1:$A$49,0),MATCH(L$1,products!$A$1:$G$1,0))</f>
        <v>9.51</v>
      </c>
      <c r="M753" s="7">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ID]],customers!$A$1:$A$1001,customers!$I$1:$I$1001,,0)</f>
        <v>No</v>
      </c>
    </row>
    <row r="754" spans="1:16" x14ac:dyDescent="0.35">
      <c r="A754" s="2" t="s">
        <v>4741</v>
      </c>
      <c r="B754" s="5">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6">
        <f>INDEX(products!$A$1:$G$49,MATCH(orders!$D754,products!$A$1:$A$49,0),MATCH(K$1,products!$A$1:$G$1,0))</f>
        <v>1</v>
      </c>
      <c r="L754" s="7">
        <f>INDEX(products!$A$1:$G$49,MATCH(orders!$D754,products!$A$1:$A$49,0),MATCH(L$1,products!$A$1:$G$1,0))</f>
        <v>13.75</v>
      </c>
      <c r="M754" s="7">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ID]],customers!$A$1:$A$1001,customers!$I$1:$I$1001,,0)</f>
        <v>Yes</v>
      </c>
    </row>
    <row r="755" spans="1:16" x14ac:dyDescent="0.35">
      <c r="A755" s="2" t="s">
        <v>4747</v>
      </c>
      <c r="B755" s="5">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6">
        <f>INDEX(products!$A$1:$G$49,MATCH(orders!$D755,products!$A$1:$A$49,0),MATCH(K$1,products!$A$1:$G$1,0))</f>
        <v>0.5</v>
      </c>
      <c r="L755" s="7">
        <f>INDEX(products!$A$1:$G$49,MATCH(orders!$D755,products!$A$1:$A$49,0),MATCH(L$1,products!$A$1:$G$1,0))</f>
        <v>5.97</v>
      </c>
      <c r="M755" s="7">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ID]],customers!$A$1:$A$1001,customers!$I$1:$I$1001,,0)</f>
        <v>No</v>
      </c>
    </row>
    <row r="756" spans="1:16" x14ac:dyDescent="0.35">
      <c r="A756" s="2" t="s">
        <v>4753</v>
      </c>
      <c r="B756" s="5">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6">
        <f>INDEX(products!$A$1:$G$49,MATCH(orders!$D756,products!$A$1:$A$49,0),MATCH(K$1,products!$A$1:$G$1,0))</f>
        <v>0.2</v>
      </c>
      <c r="L756" s="7">
        <f>INDEX(products!$A$1:$G$49,MATCH(orders!$D756,products!$A$1:$A$49,0),MATCH(L$1,products!$A$1:$G$1,0))</f>
        <v>2.9849999999999999</v>
      </c>
      <c r="M756" s="7">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ID]],customers!$A$1:$A$1001,customers!$I$1:$I$1001,,0)</f>
        <v>No</v>
      </c>
    </row>
    <row r="757" spans="1:16" x14ac:dyDescent="0.35">
      <c r="A757" s="2" t="s">
        <v>4758</v>
      </c>
      <c r="B757" s="5">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6">
        <f>INDEX(products!$A$1:$G$49,MATCH(orders!$D757,products!$A$1:$A$49,0),MATCH(K$1,products!$A$1:$G$1,0))</f>
        <v>0.2</v>
      </c>
      <c r="L757" s="7">
        <f>INDEX(products!$A$1:$G$49,MATCH(orders!$D757,products!$A$1:$A$49,0),MATCH(L$1,products!$A$1:$G$1,0))</f>
        <v>4.7549999999999999</v>
      </c>
      <c r="M757" s="7">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ID]],customers!$A$1:$A$1001,customers!$I$1:$I$1001,,0)</f>
        <v>No</v>
      </c>
    </row>
    <row r="758" spans="1:16" x14ac:dyDescent="0.35">
      <c r="A758" s="2" t="s">
        <v>4764</v>
      </c>
      <c r="B758" s="5">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6">
        <f>INDEX(products!$A$1:$G$49,MATCH(orders!$D758,products!$A$1:$A$49,0),MATCH(K$1,products!$A$1:$G$1,0))</f>
        <v>1</v>
      </c>
      <c r="L758" s="7">
        <f>INDEX(products!$A$1:$G$49,MATCH(orders!$D758,products!$A$1:$A$49,0),MATCH(L$1,products!$A$1:$G$1,0))</f>
        <v>8.9499999999999993</v>
      </c>
      <c r="M758" s="7">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ID]],customers!$A$1:$A$1001,customers!$I$1:$I$1001,,0)</f>
        <v>Yes</v>
      </c>
    </row>
    <row r="759" spans="1:16" x14ac:dyDescent="0.35">
      <c r="A759" s="2" t="s">
        <v>4770</v>
      </c>
      <c r="B759" s="5">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6">
        <f>INDEX(products!$A$1:$G$49,MATCH(orders!$D759,products!$A$1:$A$49,0),MATCH(K$1,products!$A$1:$G$1,0))</f>
        <v>0.5</v>
      </c>
      <c r="L759" s="7">
        <f>INDEX(products!$A$1:$G$49,MATCH(orders!$D759,products!$A$1:$A$49,0),MATCH(L$1,products!$A$1:$G$1,0))</f>
        <v>5.97</v>
      </c>
      <c r="M759" s="7">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ID]],customers!$A$1:$A$1001,customers!$I$1:$I$1001,,0)</f>
        <v>Yes</v>
      </c>
    </row>
    <row r="760" spans="1:16" x14ac:dyDescent="0.35">
      <c r="A760" s="2" t="s">
        <v>4776</v>
      </c>
      <c r="B760" s="5">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6">
        <f>INDEX(products!$A$1:$G$49,MATCH(orders!$D760,products!$A$1:$A$49,0),MATCH(K$1,products!$A$1:$G$1,0))</f>
        <v>1</v>
      </c>
      <c r="L760" s="7">
        <f>INDEX(products!$A$1:$G$49,MATCH(orders!$D760,products!$A$1:$A$49,0),MATCH(L$1,products!$A$1:$G$1,0))</f>
        <v>8.9499999999999993</v>
      </c>
      <c r="M760" s="7">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ID]],customers!$A$1:$A$1001,customers!$I$1:$I$1001,,0)</f>
        <v>No</v>
      </c>
    </row>
    <row r="761" spans="1:16" x14ac:dyDescent="0.35">
      <c r="A761" s="2" t="s">
        <v>4781</v>
      </c>
      <c r="B761" s="5">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6">
        <f>INDEX(products!$A$1:$G$49,MATCH(orders!$D761,products!$A$1:$A$49,0),MATCH(K$1,products!$A$1:$G$1,0))</f>
        <v>2.5</v>
      </c>
      <c r="L761" s="7">
        <f>INDEX(products!$A$1:$G$49,MATCH(orders!$D761,products!$A$1:$A$49,0),MATCH(L$1,products!$A$1:$G$1,0))</f>
        <v>29.784999999999997</v>
      </c>
      <c r="M761" s="7">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ID]],customers!$A$1:$A$1001,customers!$I$1:$I$1001,,0)</f>
        <v>Yes</v>
      </c>
    </row>
    <row r="762" spans="1:16" x14ac:dyDescent="0.35">
      <c r="A762" s="2" t="s">
        <v>4787</v>
      </c>
      <c r="B762" s="5">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6">
        <f>INDEX(products!$A$1:$G$49,MATCH(orders!$D762,products!$A$1:$A$49,0),MATCH(K$1,products!$A$1:$G$1,0))</f>
        <v>0.5</v>
      </c>
      <c r="L762" s="7">
        <f>INDEX(products!$A$1:$G$49,MATCH(orders!$D762,products!$A$1:$A$49,0),MATCH(L$1,products!$A$1:$G$1,0))</f>
        <v>8.91</v>
      </c>
      <c r="M762" s="7">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ID]],customers!$A$1:$A$1001,customers!$I$1:$I$1001,,0)</f>
        <v>No</v>
      </c>
    </row>
    <row r="763" spans="1:16" x14ac:dyDescent="0.35">
      <c r="A763" s="2" t="s">
        <v>4792</v>
      </c>
      <c r="B763" s="5">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6">
        <f>INDEX(products!$A$1:$G$49,MATCH(orders!$D763,products!$A$1:$A$49,0),MATCH(K$1,products!$A$1:$G$1,0))</f>
        <v>1</v>
      </c>
      <c r="L763" s="7">
        <f>INDEX(products!$A$1:$G$49,MATCH(orders!$D763,products!$A$1:$A$49,0),MATCH(L$1,products!$A$1:$G$1,0))</f>
        <v>14.85</v>
      </c>
      <c r="M763" s="7">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ID]],customers!$A$1:$A$1001,customers!$I$1:$I$1001,,0)</f>
        <v>Yes</v>
      </c>
    </row>
    <row r="764" spans="1:16" x14ac:dyDescent="0.35">
      <c r="A764" s="2" t="s">
        <v>4797</v>
      </c>
      <c r="B764" s="5">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6">
        <f>INDEX(products!$A$1:$G$49,MATCH(orders!$D764,products!$A$1:$A$49,0),MATCH(K$1,products!$A$1:$G$1,0))</f>
        <v>0.5</v>
      </c>
      <c r="L764" s="7">
        <f>INDEX(products!$A$1:$G$49,MATCH(orders!$D764,products!$A$1:$A$49,0),MATCH(L$1,products!$A$1:$G$1,0))</f>
        <v>8.73</v>
      </c>
      <c r="M764" s="7">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ID]],customers!$A$1:$A$1001,customers!$I$1:$I$1001,,0)</f>
        <v>No</v>
      </c>
    </row>
    <row r="765" spans="1:16" x14ac:dyDescent="0.35">
      <c r="A765" s="2" t="s">
        <v>4803</v>
      </c>
      <c r="B765" s="5">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6">
        <f>INDEX(products!$A$1:$G$49,MATCH(orders!$D765,products!$A$1:$A$49,0),MATCH(K$1,products!$A$1:$G$1,0))</f>
        <v>0.5</v>
      </c>
      <c r="L765" s="7">
        <f>INDEX(products!$A$1:$G$49,MATCH(orders!$D765,products!$A$1:$A$49,0),MATCH(L$1,products!$A$1:$G$1,0))</f>
        <v>7.77</v>
      </c>
      <c r="M765" s="7">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ID]],customers!$A$1:$A$1001,customers!$I$1:$I$1001,,0)</f>
        <v>No</v>
      </c>
    </row>
    <row r="766" spans="1:16" x14ac:dyDescent="0.35">
      <c r="A766" s="2" t="s">
        <v>4808</v>
      </c>
      <c r="B766" s="5">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6">
        <f>INDEX(products!$A$1:$G$49,MATCH(orders!$D766,products!$A$1:$A$49,0),MATCH(K$1,products!$A$1:$G$1,0))</f>
        <v>2.5</v>
      </c>
      <c r="L766" s="7">
        <f>INDEX(products!$A$1:$G$49,MATCH(orders!$D766,products!$A$1:$A$49,0),MATCH(L$1,products!$A$1:$G$1,0))</f>
        <v>29.784999999999997</v>
      </c>
      <c r="M766" s="7">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ID]],customers!$A$1:$A$1001,customers!$I$1:$I$1001,,0)</f>
        <v>Yes</v>
      </c>
    </row>
    <row r="767" spans="1:16" x14ac:dyDescent="0.35">
      <c r="A767" s="2" t="s">
        <v>4814</v>
      </c>
      <c r="B767" s="5">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6">
        <f>INDEX(products!$A$1:$G$49,MATCH(orders!$D767,products!$A$1:$A$49,0),MATCH(K$1,products!$A$1:$G$1,0))</f>
        <v>1</v>
      </c>
      <c r="L767" s="7">
        <f>INDEX(products!$A$1:$G$49,MATCH(orders!$D767,products!$A$1:$A$49,0),MATCH(L$1,products!$A$1:$G$1,0))</f>
        <v>9.9499999999999993</v>
      </c>
      <c r="M767" s="7">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ID]],customers!$A$1:$A$1001,customers!$I$1:$I$1001,,0)</f>
        <v>Yes</v>
      </c>
    </row>
    <row r="768" spans="1:16" x14ac:dyDescent="0.35">
      <c r="A768" s="2" t="s">
        <v>4814</v>
      </c>
      <c r="B768" s="5">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6">
        <f>INDEX(products!$A$1:$G$49,MATCH(orders!$D768,products!$A$1:$A$49,0),MATCH(K$1,products!$A$1:$G$1,0))</f>
        <v>0.5</v>
      </c>
      <c r="L768" s="7">
        <f>INDEX(products!$A$1:$G$49,MATCH(orders!$D768,products!$A$1:$A$49,0),MATCH(L$1,products!$A$1:$G$1,0))</f>
        <v>7.77</v>
      </c>
      <c r="M768" s="7">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ID]],customers!$A$1:$A$1001,customers!$I$1:$I$1001,,0)</f>
        <v>Yes</v>
      </c>
    </row>
    <row r="769" spans="1:16" x14ac:dyDescent="0.35">
      <c r="A769" s="2" t="s">
        <v>4825</v>
      </c>
      <c r="B769" s="5">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6">
        <f>INDEX(products!$A$1:$G$49,MATCH(orders!$D769,products!$A$1:$A$49,0),MATCH(K$1,products!$A$1:$G$1,0))</f>
        <v>2.5</v>
      </c>
      <c r="L769" s="7">
        <f>INDEX(products!$A$1:$G$49,MATCH(orders!$D769,products!$A$1:$A$49,0),MATCH(L$1,products!$A$1:$G$1,0))</f>
        <v>29.784999999999997</v>
      </c>
      <c r="M769" s="7">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ID]],customers!$A$1:$A$1001,customers!$I$1:$I$1001,,0)</f>
        <v>No</v>
      </c>
    </row>
    <row r="770" spans="1:16" x14ac:dyDescent="0.35">
      <c r="A770" s="2" t="s">
        <v>4831</v>
      </c>
      <c r="B770" s="5">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6">
        <f>INDEX(products!$A$1:$G$49,MATCH(orders!$D770,products!$A$1:$A$49,0),MATCH(K$1,products!$A$1:$G$1,0))</f>
        <v>1</v>
      </c>
      <c r="L770" s="7">
        <f>INDEX(products!$A$1:$G$49,MATCH(orders!$D770,products!$A$1:$A$49,0),MATCH(L$1,products!$A$1:$G$1,0))</f>
        <v>11.95</v>
      </c>
      <c r="M770" s="7">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ID]],customers!$A$1:$A$1001,customers!$I$1:$I$1001,,0)</f>
        <v>No</v>
      </c>
    </row>
    <row r="771" spans="1:16" x14ac:dyDescent="0.35">
      <c r="A771" s="2" t="s">
        <v>4836</v>
      </c>
      <c r="B771" s="5">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6">
        <f>INDEX(products!$A$1:$G$49,MATCH(orders!$D771,products!$A$1:$A$49,0),MATCH(K$1,products!$A$1:$G$1,0))</f>
        <v>2.5</v>
      </c>
      <c r="L771" s="7">
        <f>INDEX(products!$A$1:$G$49,MATCH(orders!$D771,products!$A$1:$A$49,0),MATCH(L$1,products!$A$1:$G$1,0))</f>
        <v>22.884999999999998</v>
      </c>
      <c r="M771" s="7">
        <f t="shared" ref="M771:M834" si="12">PRODUCT(L771,E771)</f>
        <v>137.31</v>
      </c>
      <c r="N771" t="str" cm="1">
        <f t="array" ref="N771">_xlfn.IFS(I771="Rob","Robusta",I771="Exc","Excelsa",I771="Ara","Arabica",I771="Lib","Liberica")</f>
        <v>Robusta</v>
      </c>
      <c r="O771" t="str" cm="1">
        <f t="array" ref="O771">_xlfn.IFS(J771="M","Medium",J771="L","Light",J771="D","Dark")</f>
        <v>Medium</v>
      </c>
      <c r="P771" t="str">
        <f>_xlfn.XLOOKUP(Orders[[#This Row],[Customer ID]],customers!$A$1:$A$1001,customers!$I$1:$I$1001,,0)</f>
        <v>No</v>
      </c>
    </row>
    <row r="772" spans="1:16" x14ac:dyDescent="0.35">
      <c r="A772" s="2" t="s">
        <v>4842</v>
      </c>
      <c r="B772" s="5">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6">
        <f>INDEX(products!$A$1:$G$49,MATCH(orders!$D772,products!$A$1:$A$49,0),MATCH(K$1,products!$A$1:$G$1,0))</f>
        <v>1</v>
      </c>
      <c r="L772" s="7">
        <f>INDEX(products!$A$1:$G$49,MATCH(orders!$D772,products!$A$1:$A$49,0),MATCH(L$1,products!$A$1:$G$1,0))</f>
        <v>9.9499999999999993</v>
      </c>
      <c r="M772" s="7">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ID]],customers!$A$1:$A$1001,customers!$I$1:$I$1001,,0)</f>
        <v>No</v>
      </c>
    </row>
    <row r="773" spans="1:16" x14ac:dyDescent="0.35">
      <c r="A773" s="2" t="s">
        <v>4847</v>
      </c>
      <c r="B773" s="5">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6">
        <f>INDEX(products!$A$1:$G$49,MATCH(orders!$D773,products!$A$1:$A$49,0),MATCH(K$1,products!$A$1:$G$1,0))</f>
        <v>0.5</v>
      </c>
      <c r="L773" s="7">
        <f>INDEX(products!$A$1:$G$49,MATCH(orders!$D773,products!$A$1:$A$49,0),MATCH(L$1,products!$A$1:$G$1,0))</f>
        <v>7.169999999999999</v>
      </c>
      <c r="M773" s="7">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ID]],customers!$A$1:$A$1001,customers!$I$1:$I$1001,,0)</f>
        <v>No</v>
      </c>
    </row>
    <row r="774" spans="1:16" x14ac:dyDescent="0.35">
      <c r="A774" s="2" t="s">
        <v>4853</v>
      </c>
      <c r="B774" s="5">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6">
        <f>INDEX(products!$A$1:$G$49,MATCH(orders!$D774,products!$A$1:$A$49,0),MATCH(K$1,products!$A$1:$G$1,0))</f>
        <v>1</v>
      </c>
      <c r="L774" s="7">
        <f>INDEX(products!$A$1:$G$49,MATCH(orders!$D774,products!$A$1:$A$49,0),MATCH(L$1,products!$A$1:$G$1,0))</f>
        <v>13.75</v>
      </c>
      <c r="M774" s="7">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ID]],customers!$A$1:$A$1001,customers!$I$1:$I$1001,,0)</f>
        <v>No</v>
      </c>
    </row>
    <row r="775" spans="1:16" x14ac:dyDescent="0.35">
      <c r="A775" s="2" t="s">
        <v>4858</v>
      </c>
      <c r="B775" s="5">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6">
        <f>INDEX(products!$A$1:$G$49,MATCH(orders!$D775,products!$A$1:$A$49,0),MATCH(K$1,products!$A$1:$G$1,0))</f>
        <v>0.2</v>
      </c>
      <c r="L775" s="7">
        <f>INDEX(products!$A$1:$G$49,MATCH(orders!$D775,products!$A$1:$A$49,0),MATCH(L$1,products!$A$1:$G$1,0))</f>
        <v>4.3650000000000002</v>
      </c>
      <c r="M775" s="7">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ID]],customers!$A$1:$A$1001,customers!$I$1:$I$1001,,0)</f>
        <v>No</v>
      </c>
    </row>
    <row r="776" spans="1:16" x14ac:dyDescent="0.35">
      <c r="A776" s="2" t="s">
        <v>4864</v>
      </c>
      <c r="B776" s="5">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6">
        <f>INDEX(products!$A$1:$G$49,MATCH(orders!$D776,products!$A$1:$A$49,0),MATCH(K$1,products!$A$1:$G$1,0))</f>
        <v>1</v>
      </c>
      <c r="L776" s="7">
        <f>INDEX(products!$A$1:$G$49,MATCH(orders!$D776,products!$A$1:$A$49,0),MATCH(L$1,products!$A$1:$G$1,0))</f>
        <v>9.9499999999999993</v>
      </c>
      <c r="M776" s="7">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ID]],customers!$A$1:$A$1001,customers!$I$1:$I$1001,,0)</f>
        <v>Yes</v>
      </c>
    </row>
    <row r="777" spans="1:16" x14ac:dyDescent="0.35">
      <c r="A777" s="2" t="s">
        <v>4869</v>
      </c>
      <c r="B777" s="5">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6">
        <f>INDEX(products!$A$1:$G$49,MATCH(orders!$D777,products!$A$1:$A$49,0),MATCH(K$1,products!$A$1:$G$1,0))</f>
        <v>0.5</v>
      </c>
      <c r="L777" s="7">
        <f>INDEX(products!$A$1:$G$49,MATCH(orders!$D777,products!$A$1:$A$49,0),MATCH(L$1,products!$A$1:$G$1,0))</f>
        <v>8.91</v>
      </c>
      <c r="M777" s="7">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ID]],customers!$A$1:$A$1001,customers!$I$1:$I$1001,,0)</f>
        <v>Yes</v>
      </c>
    </row>
    <row r="778" spans="1:16" x14ac:dyDescent="0.35">
      <c r="A778" s="2" t="s">
        <v>4875</v>
      </c>
      <c r="B778" s="5">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6">
        <f>INDEX(products!$A$1:$G$49,MATCH(orders!$D778,products!$A$1:$A$49,0),MATCH(K$1,products!$A$1:$G$1,0))</f>
        <v>0.5</v>
      </c>
      <c r="L778" s="7">
        <f>INDEX(products!$A$1:$G$49,MATCH(orders!$D778,products!$A$1:$A$49,0),MATCH(L$1,products!$A$1:$G$1,0))</f>
        <v>6.75</v>
      </c>
      <c r="M778" s="7">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ID]],customers!$A$1:$A$1001,customers!$I$1:$I$1001,,0)</f>
        <v>No</v>
      </c>
    </row>
    <row r="779" spans="1:16" x14ac:dyDescent="0.35">
      <c r="A779" s="2" t="s">
        <v>4881</v>
      </c>
      <c r="B779" s="5">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6">
        <f>INDEX(products!$A$1:$G$49,MATCH(orders!$D779,products!$A$1:$A$49,0),MATCH(K$1,products!$A$1:$G$1,0))</f>
        <v>2.5</v>
      </c>
      <c r="L779" s="7">
        <f>INDEX(products!$A$1:$G$49,MATCH(orders!$D779,products!$A$1:$A$49,0),MATCH(L$1,products!$A$1:$G$1,0))</f>
        <v>29.784999999999997</v>
      </c>
      <c r="M779" s="7">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ID]],customers!$A$1:$A$1001,customers!$I$1:$I$1001,,0)</f>
        <v>No</v>
      </c>
    </row>
    <row r="780" spans="1:16" x14ac:dyDescent="0.35">
      <c r="A780" s="2" t="s">
        <v>4886</v>
      </c>
      <c r="B780" s="5">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6">
        <f>INDEX(products!$A$1:$G$49,MATCH(orders!$D780,products!$A$1:$A$49,0),MATCH(K$1,products!$A$1:$G$1,0))</f>
        <v>0.5</v>
      </c>
      <c r="L780" s="7">
        <f>INDEX(products!$A$1:$G$49,MATCH(orders!$D780,products!$A$1:$A$49,0),MATCH(L$1,products!$A$1:$G$1,0))</f>
        <v>9.51</v>
      </c>
      <c r="M780" s="7">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ID]],customers!$A$1:$A$1001,customers!$I$1:$I$1001,,0)</f>
        <v>Yes</v>
      </c>
    </row>
    <row r="781" spans="1:16" x14ac:dyDescent="0.35">
      <c r="A781" s="2" t="s">
        <v>4892</v>
      </c>
      <c r="B781" s="5">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6">
        <f>INDEX(products!$A$1:$G$49,MATCH(orders!$D781,products!$A$1:$A$49,0),MATCH(K$1,products!$A$1:$G$1,0))</f>
        <v>1</v>
      </c>
      <c r="L781" s="7">
        <f>INDEX(products!$A$1:$G$49,MATCH(orders!$D781,products!$A$1:$A$49,0),MATCH(L$1,products!$A$1:$G$1,0))</f>
        <v>12.95</v>
      </c>
      <c r="M781" s="7">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ID]],customers!$A$1:$A$1001,customers!$I$1:$I$1001,,0)</f>
        <v>Yes</v>
      </c>
    </row>
    <row r="782" spans="1:16" x14ac:dyDescent="0.35">
      <c r="A782" s="2" t="s">
        <v>4898</v>
      </c>
      <c r="B782" s="5">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6">
        <f>INDEX(products!$A$1:$G$49,MATCH(orders!$D782,products!$A$1:$A$49,0),MATCH(K$1,products!$A$1:$G$1,0))</f>
        <v>1</v>
      </c>
      <c r="L782" s="7">
        <f>INDEX(products!$A$1:$G$49,MATCH(orders!$D782,products!$A$1:$A$49,0),MATCH(L$1,products!$A$1:$G$1,0))</f>
        <v>13.75</v>
      </c>
      <c r="M782" s="7">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ID]],customers!$A$1:$A$1001,customers!$I$1:$I$1001,,0)</f>
        <v>No</v>
      </c>
    </row>
    <row r="783" spans="1:16" x14ac:dyDescent="0.35">
      <c r="A783" s="2" t="s">
        <v>4903</v>
      </c>
      <c r="B783" s="5">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6">
        <f>INDEX(products!$A$1:$G$49,MATCH(orders!$D783,products!$A$1:$A$49,0),MATCH(K$1,products!$A$1:$G$1,0))</f>
        <v>2.5</v>
      </c>
      <c r="L783" s="7">
        <f>INDEX(products!$A$1:$G$49,MATCH(orders!$D783,products!$A$1:$A$49,0),MATCH(L$1,products!$A$1:$G$1,0))</f>
        <v>36.454999999999998</v>
      </c>
      <c r="M783" s="7">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ID]],customers!$A$1:$A$1001,customers!$I$1:$I$1001,,0)</f>
        <v>No</v>
      </c>
    </row>
    <row r="784" spans="1:16" x14ac:dyDescent="0.35">
      <c r="A784" s="2" t="s">
        <v>4909</v>
      </c>
      <c r="B784" s="5">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6">
        <f>INDEX(products!$A$1:$G$49,MATCH(orders!$D784,products!$A$1:$A$49,0),MATCH(K$1,products!$A$1:$G$1,0))</f>
        <v>0.2</v>
      </c>
      <c r="L784" s="7">
        <f>INDEX(products!$A$1:$G$49,MATCH(orders!$D784,products!$A$1:$A$49,0),MATCH(L$1,products!$A$1:$G$1,0))</f>
        <v>4.4550000000000001</v>
      </c>
      <c r="M784" s="7">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ID]],customers!$A$1:$A$1001,customers!$I$1:$I$1001,,0)</f>
        <v>No</v>
      </c>
    </row>
    <row r="785" spans="1:16" x14ac:dyDescent="0.35">
      <c r="A785" s="2" t="s">
        <v>4915</v>
      </c>
      <c r="B785" s="5">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6">
        <f>INDEX(products!$A$1:$G$49,MATCH(orders!$D785,products!$A$1:$A$49,0),MATCH(K$1,products!$A$1:$G$1,0))</f>
        <v>0.5</v>
      </c>
      <c r="L785" s="7">
        <f>INDEX(products!$A$1:$G$49,MATCH(orders!$D785,products!$A$1:$A$49,0),MATCH(L$1,products!$A$1:$G$1,0))</f>
        <v>8.73</v>
      </c>
      <c r="M785" s="7">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ID]],customers!$A$1:$A$1001,customers!$I$1:$I$1001,,0)</f>
        <v>Yes</v>
      </c>
    </row>
    <row r="786" spans="1:16" x14ac:dyDescent="0.35">
      <c r="A786" s="2" t="s">
        <v>4921</v>
      </c>
      <c r="B786" s="5">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6">
        <f>INDEX(products!$A$1:$G$49,MATCH(orders!$D786,products!$A$1:$A$49,0),MATCH(K$1,products!$A$1:$G$1,0))</f>
        <v>1</v>
      </c>
      <c r="L786" s="7">
        <f>INDEX(products!$A$1:$G$49,MATCH(orders!$D786,products!$A$1:$A$49,0),MATCH(L$1,products!$A$1:$G$1,0))</f>
        <v>15.85</v>
      </c>
      <c r="M786" s="7">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ID]],customers!$A$1:$A$1001,customers!$I$1:$I$1001,,0)</f>
        <v>No</v>
      </c>
    </row>
    <row r="787" spans="1:16" x14ac:dyDescent="0.35">
      <c r="A787" s="2" t="s">
        <v>4926</v>
      </c>
      <c r="B787" s="5">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6">
        <f>INDEX(products!$A$1:$G$49,MATCH(orders!$D787,products!$A$1:$A$49,0),MATCH(K$1,products!$A$1:$G$1,0))</f>
        <v>2.5</v>
      </c>
      <c r="L787" s="7">
        <f>INDEX(products!$A$1:$G$49,MATCH(orders!$D787,products!$A$1:$A$49,0),MATCH(L$1,products!$A$1:$G$1,0))</f>
        <v>22.884999999999998</v>
      </c>
      <c r="M787" s="7">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ID]],customers!$A$1:$A$1001,customers!$I$1:$I$1001,,0)</f>
        <v>No</v>
      </c>
    </row>
    <row r="788" spans="1:16" x14ac:dyDescent="0.35">
      <c r="A788" s="2" t="s">
        <v>4932</v>
      </c>
      <c r="B788" s="5">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6">
        <f>INDEX(products!$A$1:$G$49,MATCH(orders!$D788,products!$A$1:$A$49,0),MATCH(K$1,products!$A$1:$G$1,0))</f>
        <v>2.5</v>
      </c>
      <c r="L788" s="7">
        <f>INDEX(products!$A$1:$G$49,MATCH(orders!$D788,products!$A$1:$A$49,0),MATCH(L$1,products!$A$1:$G$1,0))</f>
        <v>27.945</v>
      </c>
      <c r="M788" s="7">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ID]],customers!$A$1:$A$1001,customers!$I$1:$I$1001,,0)</f>
        <v>Yes</v>
      </c>
    </row>
    <row r="789" spans="1:16" x14ac:dyDescent="0.35">
      <c r="A789" s="2" t="s">
        <v>4938</v>
      </c>
      <c r="B789" s="5">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6">
        <f>INDEX(products!$A$1:$G$49,MATCH(orders!$D789,products!$A$1:$A$49,0),MATCH(K$1,products!$A$1:$G$1,0))</f>
        <v>1</v>
      </c>
      <c r="L789" s="7">
        <f>INDEX(products!$A$1:$G$49,MATCH(orders!$D789,products!$A$1:$A$49,0),MATCH(L$1,products!$A$1:$G$1,0))</f>
        <v>13.75</v>
      </c>
      <c r="M789" s="7">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ID]],customers!$A$1:$A$1001,customers!$I$1:$I$1001,,0)</f>
        <v>Yes</v>
      </c>
    </row>
    <row r="790" spans="1:16" x14ac:dyDescent="0.35">
      <c r="A790" s="2" t="s">
        <v>4943</v>
      </c>
      <c r="B790" s="5">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6">
        <f>INDEX(products!$A$1:$G$49,MATCH(orders!$D790,products!$A$1:$A$49,0),MATCH(K$1,products!$A$1:$G$1,0))</f>
        <v>2.5</v>
      </c>
      <c r="L790" s="7">
        <f>INDEX(products!$A$1:$G$49,MATCH(orders!$D790,products!$A$1:$A$49,0),MATCH(L$1,products!$A$1:$G$1,0))</f>
        <v>22.884999999999998</v>
      </c>
      <c r="M790" s="7">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ID]],customers!$A$1:$A$1001,customers!$I$1:$I$1001,,0)</f>
        <v>Yes</v>
      </c>
    </row>
    <row r="791" spans="1:16" x14ac:dyDescent="0.35">
      <c r="A791" s="2" t="s">
        <v>4949</v>
      </c>
      <c r="B791" s="5">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6">
        <f>INDEX(products!$A$1:$G$49,MATCH(orders!$D791,products!$A$1:$A$49,0),MATCH(K$1,products!$A$1:$G$1,0))</f>
        <v>1</v>
      </c>
      <c r="L791" s="7">
        <f>INDEX(products!$A$1:$G$49,MATCH(orders!$D791,products!$A$1:$A$49,0),MATCH(L$1,products!$A$1:$G$1,0))</f>
        <v>12.95</v>
      </c>
      <c r="M791" s="7">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ID]],customers!$A$1:$A$1001,customers!$I$1:$I$1001,,0)</f>
        <v>No</v>
      </c>
    </row>
    <row r="792" spans="1:16" x14ac:dyDescent="0.35">
      <c r="A792" s="2" t="s">
        <v>4955</v>
      </c>
      <c r="B792" s="5">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6">
        <f>INDEX(products!$A$1:$G$49,MATCH(orders!$D792,products!$A$1:$A$49,0),MATCH(K$1,products!$A$1:$G$1,0))</f>
        <v>0.5</v>
      </c>
      <c r="L792" s="7">
        <f>INDEX(products!$A$1:$G$49,MATCH(orders!$D792,products!$A$1:$A$49,0),MATCH(L$1,products!$A$1:$G$1,0))</f>
        <v>7.77</v>
      </c>
      <c r="M792" s="7">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ID]],customers!$A$1:$A$1001,customers!$I$1:$I$1001,,0)</f>
        <v>No</v>
      </c>
    </row>
    <row r="793" spans="1:16" x14ac:dyDescent="0.35">
      <c r="A793" s="2" t="s">
        <v>4961</v>
      </c>
      <c r="B793" s="5">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6">
        <f>INDEX(products!$A$1:$G$49,MATCH(orders!$D793,products!$A$1:$A$49,0),MATCH(K$1,products!$A$1:$G$1,0))</f>
        <v>0.2</v>
      </c>
      <c r="L793" s="7">
        <f>INDEX(products!$A$1:$G$49,MATCH(orders!$D793,products!$A$1:$A$49,0),MATCH(L$1,products!$A$1:$G$1,0))</f>
        <v>4.7549999999999999</v>
      </c>
      <c r="M793" s="7">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ID]],customers!$A$1:$A$1001,customers!$I$1:$I$1001,,0)</f>
        <v>Yes</v>
      </c>
    </row>
    <row r="794" spans="1:16" x14ac:dyDescent="0.35">
      <c r="A794" s="2" t="s">
        <v>4967</v>
      </c>
      <c r="B794" s="5">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6">
        <f>INDEX(products!$A$1:$G$49,MATCH(orders!$D794,products!$A$1:$A$49,0),MATCH(K$1,products!$A$1:$G$1,0))</f>
        <v>0.5</v>
      </c>
      <c r="L794" s="7">
        <f>INDEX(products!$A$1:$G$49,MATCH(orders!$D794,products!$A$1:$A$49,0),MATCH(L$1,products!$A$1:$G$1,0))</f>
        <v>8.73</v>
      </c>
      <c r="M794" s="7">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ID]],customers!$A$1:$A$1001,customers!$I$1:$I$1001,,0)</f>
        <v>Yes</v>
      </c>
    </row>
    <row r="795" spans="1:16" x14ac:dyDescent="0.35">
      <c r="A795" s="2" t="s">
        <v>4973</v>
      </c>
      <c r="B795" s="5">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6">
        <f>INDEX(products!$A$1:$G$49,MATCH(orders!$D795,products!$A$1:$A$49,0),MATCH(K$1,products!$A$1:$G$1,0))</f>
        <v>0.2</v>
      </c>
      <c r="L795" s="7">
        <f>INDEX(products!$A$1:$G$49,MATCH(orders!$D795,products!$A$1:$A$49,0),MATCH(L$1,products!$A$1:$G$1,0))</f>
        <v>3.5849999999999995</v>
      </c>
      <c r="M795" s="7">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ID]],customers!$A$1:$A$1001,customers!$I$1:$I$1001,,0)</f>
        <v>No</v>
      </c>
    </row>
    <row r="796" spans="1:16" x14ac:dyDescent="0.35">
      <c r="A796" s="2" t="s">
        <v>4979</v>
      </c>
      <c r="B796" s="5">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6">
        <f>INDEX(products!$A$1:$G$49,MATCH(orders!$D796,products!$A$1:$A$49,0),MATCH(K$1,products!$A$1:$G$1,0))</f>
        <v>2.5</v>
      </c>
      <c r="L796" s="7">
        <f>INDEX(products!$A$1:$G$49,MATCH(orders!$D796,products!$A$1:$A$49,0),MATCH(L$1,products!$A$1:$G$1,0))</f>
        <v>29.784999999999997</v>
      </c>
      <c r="M796" s="7">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ID]],customers!$A$1:$A$1001,customers!$I$1:$I$1001,,0)</f>
        <v>No</v>
      </c>
    </row>
    <row r="797" spans="1:16" x14ac:dyDescent="0.35">
      <c r="A797" s="2" t="s">
        <v>4985</v>
      </c>
      <c r="B797" s="5">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6">
        <f>INDEX(products!$A$1:$G$49,MATCH(orders!$D797,products!$A$1:$A$49,0),MATCH(K$1,products!$A$1:$G$1,0))</f>
        <v>0.5</v>
      </c>
      <c r="L797" s="7">
        <f>INDEX(products!$A$1:$G$49,MATCH(orders!$D797,products!$A$1:$A$49,0),MATCH(L$1,products!$A$1:$G$1,0))</f>
        <v>7.169999999999999</v>
      </c>
      <c r="M797" s="7">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ID]],customers!$A$1:$A$1001,customers!$I$1:$I$1001,,0)</f>
        <v>No</v>
      </c>
    </row>
    <row r="798" spans="1:16" x14ac:dyDescent="0.35">
      <c r="A798" s="2" t="s">
        <v>4991</v>
      </c>
      <c r="B798" s="5">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6">
        <f>INDEX(products!$A$1:$G$49,MATCH(orders!$D798,products!$A$1:$A$49,0),MATCH(K$1,products!$A$1:$G$1,0))</f>
        <v>0.5</v>
      </c>
      <c r="L798" s="7">
        <f>INDEX(products!$A$1:$G$49,MATCH(orders!$D798,products!$A$1:$A$49,0),MATCH(L$1,products!$A$1:$G$1,0))</f>
        <v>9.51</v>
      </c>
      <c r="M798" s="7">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ID]],customers!$A$1:$A$1001,customers!$I$1:$I$1001,,0)</f>
        <v>No</v>
      </c>
    </row>
    <row r="799" spans="1:16" x14ac:dyDescent="0.35">
      <c r="A799" s="2" t="s">
        <v>4996</v>
      </c>
      <c r="B799" s="5">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6">
        <f>INDEX(products!$A$1:$G$49,MATCH(orders!$D799,products!$A$1:$A$49,0),MATCH(K$1,products!$A$1:$G$1,0))</f>
        <v>0.5</v>
      </c>
      <c r="L799" s="7">
        <f>INDEX(products!$A$1:$G$49,MATCH(orders!$D799,products!$A$1:$A$49,0),MATCH(L$1,products!$A$1:$G$1,0))</f>
        <v>7.77</v>
      </c>
      <c r="M799" s="7">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ID]],customers!$A$1:$A$1001,customers!$I$1:$I$1001,,0)</f>
        <v>No</v>
      </c>
    </row>
    <row r="800" spans="1:16" x14ac:dyDescent="0.35">
      <c r="A800" s="2" t="s">
        <v>5002</v>
      </c>
      <c r="B800" s="5">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6">
        <f>INDEX(products!$A$1:$G$49,MATCH(orders!$D800,products!$A$1:$A$49,0),MATCH(K$1,products!$A$1:$G$1,0))</f>
        <v>0.2</v>
      </c>
      <c r="L800" s="7">
        <f>INDEX(products!$A$1:$G$49,MATCH(orders!$D800,products!$A$1:$A$49,0),MATCH(L$1,products!$A$1:$G$1,0))</f>
        <v>2.6849999999999996</v>
      </c>
      <c r="M800" s="7">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ID]],customers!$A$1:$A$1001,customers!$I$1:$I$1001,,0)</f>
        <v>Yes</v>
      </c>
    </row>
    <row r="801" spans="1:16" x14ac:dyDescent="0.35">
      <c r="A801" s="2" t="s">
        <v>5008</v>
      </c>
      <c r="B801" s="5">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6">
        <f>INDEX(products!$A$1:$G$49,MATCH(orders!$D801,products!$A$1:$A$49,0),MATCH(K$1,products!$A$1:$G$1,0))</f>
        <v>1</v>
      </c>
      <c r="L801" s="7">
        <f>INDEX(products!$A$1:$G$49,MATCH(orders!$D801,products!$A$1:$A$49,0),MATCH(L$1,products!$A$1:$G$1,0))</f>
        <v>12.15</v>
      </c>
      <c r="M801" s="7">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ID]],customers!$A$1:$A$1001,customers!$I$1:$I$1001,,0)</f>
        <v>Yes</v>
      </c>
    </row>
    <row r="802" spans="1:16" x14ac:dyDescent="0.35">
      <c r="A802" s="2" t="s">
        <v>5012</v>
      </c>
      <c r="B802" s="5">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6">
        <f>INDEX(products!$A$1:$G$49,MATCH(orders!$D802,products!$A$1:$A$49,0),MATCH(K$1,products!$A$1:$G$1,0))</f>
        <v>0.2</v>
      </c>
      <c r="L802" s="7">
        <f>INDEX(products!$A$1:$G$49,MATCH(orders!$D802,products!$A$1:$A$49,0),MATCH(L$1,products!$A$1:$G$1,0))</f>
        <v>2.6849999999999996</v>
      </c>
      <c r="M802" s="7">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ID]],customers!$A$1:$A$1001,customers!$I$1:$I$1001,,0)</f>
        <v>No</v>
      </c>
    </row>
    <row r="803" spans="1:16" x14ac:dyDescent="0.35">
      <c r="A803" s="2" t="s">
        <v>5018</v>
      </c>
      <c r="B803" s="5">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6">
        <f>INDEX(products!$A$1:$G$49,MATCH(orders!$D803,products!$A$1:$A$49,0),MATCH(K$1,products!$A$1:$G$1,0))</f>
        <v>2.5</v>
      </c>
      <c r="L803" s="7">
        <f>INDEX(products!$A$1:$G$49,MATCH(orders!$D803,products!$A$1:$A$49,0),MATCH(L$1,products!$A$1:$G$1,0))</f>
        <v>20.584999999999997</v>
      </c>
      <c r="M803" s="7">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ID]],customers!$A$1:$A$1001,customers!$I$1:$I$1001,,0)</f>
        <v>Yes</v>
      </c>
    </row>
    <row r="804" spans="1:16" x14ac:dyDescent="0.35">
      <c r="A804" s="2" t="s">
        <v>5024</v>
      </c>
      <c r="B804" s="5">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6">
        <f>INDEX(products!$A$1:$G$49,MATCH(orders!$D804,products!$A$1:$A$49,0),MATCH(K$1,products!$A$1:$G$1,0))</f>
        <v>0.2</v>
      </c>
      <c r="L804" s="7">
        <f>INDEX(products!$A$1:$G$49,MATCH(orders!$D804,products!$A$1:$A$49,0),MATCH(L$1,products!$A$1:$G$1,0))</f>
        <v>2.6849999999999996</v>
      </c>
      <c r="M804" s="7">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ID]],customers!$A$1:$A$1001,customers!$I$1:$I$1001,,0)</f>
        <v>No</v>
      </c>
    </row>
    <row r="805" spans="1:16" x14ac:dyDescent="0.35">
      <c r="A805" s="2" t="s">
        <v>5030</v>
      </c>
      <c r="B805" s="5">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6">
        <f>INDEX(products!$A$1:$G$49,MATCH(orders!$D805,products!$A$1:$A$49,0),MATCH(K$1,products!$A$1:$G$1,0))</f>
        <v>2.5</v>
      </c>
      <c r="L805" s="7">
        <f>INDEX(products!$A$1:$G$49,MATCH(orders!$D805,products!$A$1:$A$49,0),MATCH(L$1,products!$A$1:$G$1,0))</f>
        <v>31.624999999999996</v>
      </c>
      <c r="M805" s="7">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ID]],customers!$A$1:$A$1001,customers!$I$1:$I$1001,,0)</f>
        <v>No</v>
      </c>
    </row>
    <row r="806" spans="1:16" x14ac:dyDescent="0.35">
      <c r="A806" s="2" t="s">
        <v>5035</v>
      </c>
      <c r="B806" s="5">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6">
        <f>INDEX(products!$A$1:$G$49,MATCH(orders!$D806,products!$A$1:$A$49,0),MATCH(K$1,products!$A$1:$G$1,0))</f>
        <v>1</v>
      </c>
      <c r="L806" s="7">
        <f>INDEX(products!$A$1:$G$49,MATCH(orders!$D806,products!$A$1:$A$49,0),MATCH(L$1,products!$A$1:$G$1,0))</f>
        <v>11.95</v>
      </c>
      <c r="M806" s="7">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ID]],customers!$A$1:$A$1001,customers!$I$1:$I$1001,,0)</f>
        <v>No</v>
      </c>
    </row>
    <row r="807" spans="1:16" x14ac:dyDescent="0.35">
      <c r="A807" s="2" t="s">
        <v>5040</v>
      </c>
      <c r="B807" s="5">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6">
        <f>INDEX(products!$A$1:$G$49,MATCH(orders!$D807,products!$A$1:$A$49,0),MATCH(K$1,products!$A$1:$G$1,0))</f>
        <v>0.5</v>
      </c>
      <c r="L807" s="7">
        <f>INDEX(products!$A$1:$G$49,MATCH(orders!$D807,products!$A$1:$A$49,0),MATCH(L$1,products!$A$1:$G$1,0))</f>
        <v>5.97</v>
      </c>
      <c r="M807" s="7">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ID]],customers!$A$1:$A$1001,customers!$I$1:$I$1001,,0)</f>
        <v>No</v>
      </c>
    </row>
    <row r="808" spans="1:16" x14ac:dyDescent="0.35">
      <c r="A808" s="2" t="s">
        <v>5046</v>
      </c>
      <c r="B808" s="5">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6">
        <f>INDEX(products!$A$1:$G$49,MATCH(orders!$D808,products!$A$1:$A$49,0),MATCH(K$1,products!$A$1:$G$1,0))</f>
        <v>0.2</v>
      </c>
      <c r="L808" s="7">
        <f>INDEX(products!$A$1:$G$49,MATCH(orders!$D808,products!$A$1:$A$49,0),MATCH(L$1,products!$A$1:$G$1,0))</f>
        <v>3.8849999999999998</v>
      </c>
      <c r="M808" s="7">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ID]],customers!$A$1:$A$1001,customers!$I$1:$I$1001,,0)</f>
        <v>Yes</v>
      </c>
    </row>
    <row r="809" spans="1:16" x14ac:dyDescent="0.35">
      <c r="A809" s="2" t="s">
        <v>5050</v>
      </c>
      <c r="B809" s="5">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6">
        <f>INDEX(products!$A$1:$G$49,MATCH(orders!$D809,products!$A$1:$A$49,0),MATCH(K$1,products!$A$1:$G$1,0))</f>
        <v>0.5</v>
      </c>
      <c r="L809" s="7">
        <f>INDEX(products!$A$1:$G$49,MATCH(orders!$D809,products!$A$1:$A$49,0),MATCH(L$1,products!$A$1:$G$1,0))</f>
        <v>7.77</v>
      </c>
      <c r="M809" s="7">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ID]],customers!$A$1:$A$1001,customers!$I$1:$I$1001,,0)</f>
        <v>No</v>
      </c>
    </row>
    <row r="810" spans="1:16" x14ac:dyDescent="0.35">
      <c r="A810" s="2" t="s">
        <v>5056</v>
      </c>
      <c r="B810" s="5">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6">
        <f>INDEX(products!$A$1:$G$49,MATCH(orders!$D810,products!$A$1:$A$49,0),MATCH(K$1,products!$A$1:$G$1,0))</f>
        <v>2.5</v>
      </c>
      <c r="L810" s="7">
        <f>INDEX(products!$A$1:$G$49,MATCH(orders!$D810,products!$A$1:$A$49,0),MATCH(L$1,products!$A$1:$G$1,0))</f>
        <v>27.484999999999996</v>
      </c>
      <c r="M810" s="7">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ID]],customers!$A$1:$A$1001,customers!$I$1:$I$1001,,0)</f>
        <v>No</v>
      </c>
    </row>
    <row r="811" spans="1:16" x14ac:dyDescent="0.35">
      <c r="A811" s="2" t="s">
        <v>5062</v>
      </c>
      <c r="B811" s="5">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6">
        <f>INDEX(products!$A$1:$G$49,MATCH(orders!$D811,products!$A$1:$A$49,0),MATCH(K$1,products!$A$1:$G$1,0))</f>
        <v>0.2</v>
      </c>
      <c r="L811" s="7">
        <f>INDEX(products!$A$1:$G$49,MATCH(orders!$D811,products!$A$1:$A$49,0),MATCH(L$1,products!$A$1:$G$1,0))</f>
        <v>2.6849999999999996</v>
      </c>
      <c r="M811" s="7">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ID]],customers!$A$1:$A$1001,customers!$I$1:$I$1001,,0)</f>
        <v>Yes</v>
      </c>
    </row>
    <row r="812" spans="1:16" x14ac:dyDescent="0.35">
      <c r="A812" s="2" t="s">
        <v>5067</v>
      </c>
      <c r="B812" s="5">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6">
        <f>INDEX(products!$A$1:$G$49,MATCH(orders!$D812,products!$A$1:$A$49,0),MATCH(K$1,products!$A$1:$G$1,0))</f>
        <v>0.5</v>
      </c>
      <c r="L812" s="7">
        <f>INDEX(products!$A$1:$G$49,MATCH(orders!$D812,products!$A$1:$A$49,0),MATCH(L$1,products!$A$1:$G$1,0))</f>
        <v>9.51</v>
      </c>
      <c r="M812" s="7">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ID]],customers!$A$1:$A$1001,customers!$I$1:$I$1001,,0)</f>
        <v>No</v>
      </c>
    </row>
    <row r="813" spans="1:16" x14ac:dyDescent="0.35">
      <c r="A813" s="2" t="s">
        <v>5073</v>
      </c>
      <c r="B813" s="5">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6">
        <f>INDEX(products!$A$1:$G$49,MATCH(orders!$D813,products!$A$1:$A$49,0),MATCH(K$1,products!$A$1:$G$1,0))</f>
        <v>1</v>
      </c>
      <c r="L813" s="7">
        <f>INDEX(products!$A$1:$G$49,MATCH(orders!$D813,products!$A$1:$A$49,0),MATCH(L$1,products!$A$1:$G$1,0))</f>
        <v>11.25</v>
      </c>
      <c r="M813" s="7">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ID]],customers!$A$1:$A$1001,customers!$I$1:$I$1001,,0)</f>
        <v>Yes</v>
      </c>
    </row>
    <row r="814" spans="1:16" x14ac:dyDescent="0.35">
      <c r="A814" s="2" t="s">
        <v>5073</v>
      </c>
      <c r="B814" s="5">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6">
        <f>INDEX(products!$A$1:$G$49,MATCH(orders!$D814,products!$A$1:$A$49,0),MATCH(K$1,products!$A$1:$G$1,0))</f>
        <v>2.5</v>
      </c>
      <c r="L814" s="7">
        <f>INDEX(products!$A$1:$G$49,MATCH(orders!$D814,products!$A$1:$A$49,0),MATCH(L$1,products!$A$1:$G$1,0))</f>
        <v>29.784999999999997</v>
      </c>
      <c r="M814" s="7">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ID]],customers!$A$1:$A$1001,customers!$I$1:$I$1001,,0)</f>
        <v>Yes</v>
      </c>
    </row>
    <row r="815" spans="1:16" x14ac:dyDescent="0.35">
      <c r="A815" s="2" t="s">
        <v>5084</v>
      </c>
      <c r="B815" s="5">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6">
        <f>INDEX(products!$A$1:$G$49,MATCH(orders!$D815,products!$A$1:$A$49,0),MATCH(K$1,products!$A$1:$G$1,0))</f>
        <v>2.5</v>
      </c>
      <c r="L815" s="7">
        <f>INDEX(products!$A$1:$G$49,MATCH(orders!$D815,products!$A$1:$A$49,0),MATCH(L$1,products!$A$1:$G$1,0))</f>
        <v>31.624999999999996</v>
      </c>
      <c r="M815" s="7">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ID]],customers!$A$1:$A$1001,customers!$I$1:$I$1001,,0)</f>
        <v>Yes</v>
      </c>
    </row>
    <row r="816" spans="1:16" x14ac:dyDescent="0.35">
      <c r="A816" s="2" t="s">
        <v>5090</v>
      </c>
      <c r="B816" s="5">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6">
        <f>INDEX(products!$A$1:$G$49,MATCH(orders!$D816,products!$A$1:$A$49,0),MATCH(K$1,products!$A$1:$G$1,0))</f>
        <v>0.2</v>
      </c>
      <c r="L816" s="7">
        <f>INDEX(products!$A$1:$G$49,MATCH(orders!$D816,products!$A$1:$A$49,0),MATCH(L$1,products!$A$1:$G$1,0))</f>
        <v>4.4550000000000001</v>
      </c>
      <c r="M816" s="7">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ID]],customers!$A$1:$A$1001,customers!$I$1:$I$1001,,0)</f>
        <v>No</v>
      </c>
    </row>
    <row r="817" spans="1:16" x14ac:dyDescent="0.35">
      <c r="A817" s="2" t="s">
        <v>5096</v>
      </c>
      <c r="B817" s="5">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6">
        <f>INDEX(products!$A$1:$G$49,MATCH(orders!$D817,products!$A$1:$A$49,0),MATCH(K$1,products!$A$1:$G$1,0))</f>
        <v>0.5</v>
      </c>
      <c r="L817" s="7">
        <f>INDEX(products!$A$1:$G$49,MATCH(orders!$D817,products!$A$1:$A$49,0),MATCH(L$1,products!$A$1:$G$1,0))</f>
        <v>5.97</v>
      </c>
      <c r="M817" s="7">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ID]],customers!$A$1:$A$1001,customers!$I$1:$I$1001,,0)</f>
        <v>No</v>
      </c>
    </row>
    <row r="818" spans="1:16" x14ac:dyDescent="0.35">
      <c r="A818" s="2" t="s">
        <v>5102</v>
      </c>
      <c r="B818" s="5">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6">
        <f>INDEX(products!$A$1:$G$49,MATCH(orders!$D818,products!$A$1:$A$49,0),MATCH(K$1,products!$A$1:$G$1,0))</f>
        <v>0.5</v>
      </c>
      <c r="L818" s="7">
        <f>INDEX(products!$A$1:$G$49,MATCH(orders!$D818,products!$A$1:$A$49,0),MATCH(L$1,products!$A$1:$G$1,0))</f>
        <v>9.51</v>
      </c>
      <c r="M818" s="7">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ID]],customers!$A$1:$A$1001,customers!$I$1:$I$1001,,0)</f>
        <v>No</v>
      </c>
    </row>
    <row r="819" spans="1:16" x14ac:dyDescent="0.35">
      <c r="A819" s="2" t="s">
        <v>5107</v>
      </c>
      <c r="B819" s="5">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6">
        <f>INDEX(products!$A$1:$G$49,MATCH(orders!$D819,products!$A$1:$A$49,0),MATCH(K$1,products!$A$1:$G$1,0))</f>
        <v>0.5</v>
      </c>
      <c r="L819" s="7">
        <f>INDEX(products!$A$1:$G$49,MATCH(orders!$D819,products!$A$1:$A$49,0),MATCH(L$1,products!$A$1:$G$1,0))</f>
        <v>7.77</v>
      </c>
      <c r="M819" s="7">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ID]],customers!$A$1:$A$1001,customers!$I$1:$I$1001,,0)</f>
        <v>No</v>
      </c>
    </row>
    <row r="820" spans="1:16" x14ac:dyDescent="0.35">
      <c r="A820" s="2" t="s">
        <v>5112</v>
      </c>
      <c r="B820" s="5">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6">
        <f>INDEX(products!$A$1:$G$49,MATCH(orders!$D820,products!$A$1:$A$49,0),MATCH(K$1,products!$A$1:$G$1,0))</f>
        <v>1</v>
      </c>
      <c r="L820" s="7">
        <f>INDEX(products!$A$1:$G$49,MATCH(orders!$D820,products!$A$1:$A$49,0),MATCH(L$1,products!$A$1:$G$1,0))</f>
        <v>15.85</v>
      </c>
      <c r="M820" s="7">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ID]],customers!$A$1:$A$1001,customers!$I$1:$I$1001,,0)</f>
        <v>No</v>
      </c>
    </row>
    <row r="821" spans="1:16" x14ac:dyDescent="0.35">
      <c r="A821" s="2" t="s">
        <v>5117</v>
      </c>
      <c r="B821" s="5">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6">
        <f>INDEX(products!$A$1:$G$49,MATCH(orders!$D821,products!$A$1:$A$49,0),MATCH(K$1,products!$A$1:$G$1,0))</f>
        <v>0.2</v>
      </c>
      <c r="L821" s="7">
        <f>INDEX(products!$A$1:$G$49,MATCH(orders!$D821,products!$A$1:$A$49,0),MATCH(L$1,products!$A$1:$G$1,0))</f>
        <v>4.7549999999999999</v>
      </c>
      <c r="M821" s="7">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ID]],customers!$A$1:$A$1001,customers!$I$1:$I$1001,,0)</f>
        <v>Yes</v>
      </c>
    </row>
    <row r="822" spans="1:16" x14ac:dyDescent="0.35">
      <c r="A822" s="2" t="s">
        <v>5123</v>
      </c>
      <c r="B822" s="5">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6">
        <f>INDEX(products!$A$1:$G$49,MATCH(orders!$D822,products!$A$1:$A$49,0),MATCH(K$1,products!$A$1:$G$1,0))</f>
        <v>1</v>
      </c>
      <c r="L822" s="7">
        <f>INDEX(products!$A$1:$G$49,MATCH(orders!$D822,products!$A$1:$A$49,0),MATCH(L$1,products!$A$1:$G$1,0))</f>
        <v>13.75</v>
      </c>
      <c r="M822" s="7">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ID]],customers!$A$1:$A$1001,customers!$I$1:$I$1001,,0)</f>
        <v>Yes</v>
      </c>
    </row>
    <row r="823" spans="1:16" x14ac:dyDescent="0.35">
      <c r="A823" s="2" t="s">
        <v>5129</v>
      </c>
      <c r="B823" s="5">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6">
        <f>INDEX(products!$A$1:$G$49,MATCH(orders!$D823,products!$A$1:$A$49,0),MATCH(K$1,products!$A$1:$G$1,0))</f>
        <v>0.5</v>
      </c>
      <c r="L823" s="7">
        <f>INDEX(products!$A$1:$G$49,MATCH(orders!$D823,products!$A$1:$A$49,0),MATCH(L$1,products!$A$1:$G$1,0))</f>
        <v>5.3699999999999992</v>
      </c>
      <c r="M823" s="7">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ID]],customers!$A$1:$A$1001,customers!$I$1:$I$1001,,0)</f>
        <v>No</v>
      </c>
    </row>
    <row r="824" spans="1:16" x14ac:dyDescent="0.35">
      <c r="A824" s="2" t="s">
        <v>5135</v>
      </c>
      <c r="B824" s="5">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6">
        <f>INDEX(products!$A$1:$G$49,MATCH(orders!$D824,products!$A$1:$A$49,0),MATCH(K$1,products!$A$1:$G$1,0))</f>
        <v>2.5</v>
      </c>
      <c r="L824" s="7">
        <f>INDEX(products!$A$1:$G$49,MATCH(orders!$D824,products!$A$1:$A$49,0),MATCH(L$1,products!$A$1:$G$1,0))</f>
        <v>34.154999999999994</v>
      </c>
      <c r="M824" s="7">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ID]],customers!$A$1:$A$1001,customers!$I$1:$I$1001,,0)</f>
        <v>No</v>
      </c>
    </row>
    <row r="825" spans="1:16" x14ac:dyDescent="0.35">
      <c r="A825" s="2" t="s">
        <v>5141</v>
      </c>
      <c r="B825" s="5">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6">
        <f>INDEX(products!$A$1:$G$49,MATCH(orders!$D825,products!$A$1:$A$49,0),MATCH(K$1,products!$A$1:$G$1,0))</f>
        <v>1</v>
      </c>
      <c r="L825" s="7">
        <f>INDEX(products!$A$1:$G$49,MATCH(orders!$D825,products!$A$1:$A$49,0),MATCH(L$1,products!$A$1:$G$1,0))</f>
        <v>15.85</v>
      </c>
      <c r="M825" s="7">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ID]],customers!$A$1:$A$1001,customers!$I$1:$I$1001,,0)</f>
        <v>Yes</v>
      </c>
    </row>
    <row r="826" spans="1:16" x14ac:dyDescent="0.35">
      <c r="A826" s="2" t="s">
        <v>5147</v>
      </c>
      <c r="B826" s="5">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6">
        <f>INDEX(products!$A$1:$G$49,MATCH(orders!$D826,products!$A$1:$A$49,0),MATCH(K$1,products!$A$1:$G$1,0))</f>
        <v>0.2</v>
      </c>
      <c r="L826" s="7">
        <f>INDEX(products!$A$1:$G$49,MATCH(orders!$D826,products!$A$1:$A$49,0),MATCH(L$1,products!$A$1:$G$1,0))</f>
        <v>3.375</v>
      </c>
      <c r="M826" s="7">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ID]],customers!$A$1:$A$1001,customers!$I$1:$I$1001,,0)</f>
        <v>Yes</v>
      </c>
    </row>
    <row r="827" spans="1:16" x14ac:dyDescent="0.35">
      <c r="A827" s="2" t="s">
        <v>5152</v>
      </c>
      <c r="B827" s="5">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6">
        <f>INDEX(products!$A$1:$G$49,MATCH(orders!$D827,products!$A$1:$A$49,0),MATCH(K$1,products!$A$1:$G$1,0))</f>
        <v>1</v>
      </c>
      <c r="L827" s="7">
        <f>INDEX(products!$A$1:$G$49,MATCH(orders!$D827,products!$A$1:$A$49,0),MATCH(L$1,products!$A$1:$G$1,0))</f>
        <v>9.9499999999999993</v>
      </c>
      <c r="M827" s="7">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ID]],customers!$A$1:$A$1001,customers!$I$1:$I$1001,,0)</f>
        <v>Yes</v>
      </c>
    </row>
    <row r="828" spans="1:16" x14ac:dyDescent="0.35">
      <c r="A828" s="2" t="s">
        <v>5158</v>
      </c>
      <c r="B828" s="5">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6">
        <f>INDEX(products!$A$1:$G$49,MATCH(orders!$D828,products!$A$1:$A$49,0),MATCH(K$1,products!$A$1:$G$1,0))</f>
        <v>0.5</v>
      </c>
      <c r="L828" s="7">
        <f>INDEX(products!$A$1:$G$49,MATCH(orders!$D828,products!$A$1:$A$49,0),MATCH(L$1,products!$A$1:$G$1,0))</f>
        <v>8.25</v>
      </c>
      <c r="M828" s="7">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ID]],customers!$A$1:$A$1001,customers!$I$1:$I$1001,,0)</f>
        <v>Yes</v>
      </c>
    </row>
    <row r="829" spans="1:16" x14ac:dyDescent="0.35">
      <c r="A829" s="2" t="s">
        <v>5164</v>
      </c>
      <c r="B829" s="5">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6">
        <f>INDEX(products!$A$1:$G$49,MATCH(orders!$D829,products!$A$1:$A$49,0),MATCH(K$1,products!$A$1:$G$1,0))</f>
        <v>0.2</v>
      </c>
      <c r="L829" s="7">
        <f>INDEX(products!$A$1:$G$49,MATCH(orders!$D829,products!$A$1:$A$49,0),MATCH(L$1,products!$A$1:$G$1,0))</f>
        <v>4.125</v>
      </c>
      <c r="M829" s="7">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ID]],customers!$A$1:$A$1001,customers!$I$1:$I$1001,,0)</f>
        <v>No</v>
      </c>
    </row>
    <row r="830" spans="1:16" x14ac:dyDescent="0.35">
      <c r="A830" s="2" t="s">
        <v>5170</v>
      </c>
      <c r="B830" s="5">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6">
        <f>INDEX(products!$A$1:$G$49,MATCH(orders!$D830,products!$A$1:$A$49,0),MATCH(K$1,products!$A$1:$G$1,0))</f>
        <v>2.5</v>
      </c>
      <c r="L830" s="7">
        <f>INDEX(products!$A$1:$G$49,MATCH(orders!$D830,products!$A$1:$A$49,0),MATCH(L$1,products!$A$1:$G$1,0))</f>
        <v>22.884999999999998</v>
      </c>
      <c r="M830" s="7">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ID]],customers!$A$1:$A$1001,customers!$I$1:$I$1001,,0)</f>
        <v>Yes</v>
      </c>
    </row>
    <row r="831" spans="1:16" x14ac:dyDescent="0.35">
      <c r="A831" s="2" t="s">
        <v>5176</v>
      </c>
      <c r="B831" s="5">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6">
        <f>INDEX(products!$A$1:$G$49,MATCH(orders!$D831,products!$A$1:$A$49,0),MATCH(K$1,products!$A$1:$G$1,0))</f>
        <v>0.2</v>
      </c>
      <c r="L831" s="7">
        <f>INDEX(products!$A$1:$G$49,MATCH(orders!$D831,products!$A$1:$A$49,0),MATCH(L$1,products!$A$1:$G$1,0))</f>
        <v>2.9849999999999999</v>
      </c>
      <c r="M831" s="7">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ID]],customers!$A$1:$A$1001,customers!$I$1:$I$1001,,0)</f>
        <v>No</v>
      </c>
    </row>
    <row r="832" spans="1:16" x14ac:dyDescent="0.35">
      <c r="A832" s="2" t="s">
        <v>5182</v>
      </c>
      <c r="B832" s="5">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6">
        <f>INDEX(products!$A$1:$G$49,MATCH(orders!$D832,products!$A$1:$A$49,0),MATCH(K$1,products!$A$1:$G$1,0))</f>
        <v>1</v>
      </c>
      <c r="L832" s="7">
        <f>INDEX(products!$A$1:$G$49,MATCH(orders!$D832,products!$A$1:$A$49,0),MATCH(L$1,products!$A$1:$G$1,0))</f>
        <v>13.75</v>
      </c>
      <c r="M832" s="7">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ID]],customers!$A$1:$A$1001,customers!$I$1:$I$1001,,0)</f>
        <v>No</v>
      </c>
    </row>
    <row r="833" spans="1:16" x14ac:dyDescent="0.35">
      <c r="A833" s="2" t="s">
        <v>5182</v>
      </c>
      <c r="B833" s="5">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6">
        <f>INDEX(products!$A$1:$G$49,MATCH(orders!$D833,products!$A$1:$A$49,0),MATCH(K$1,products!$A$1:$G$1,0))</f>
        <v>0.2</v>
      </c>
      <c r="L833" s="7">
        <f>INDEX(products!$A$1:$G$49,MATCH(orders!$D833,products!$A$1:$A$49,0),MATCH(L$1,products!$A$1:$G$1,0))</f>
        <v>2.9849999999999999</v>
      </c>
      <c r="M833" s="7">
        <f t="shared" si="12"/>
        <v>5.97</v>
      </c>
      <c r="N833" t="str" cm="1">
        <f t="array" ref="N833">_xlfn.IFS(I833="Rob","Robusta",I833="Exc","Excelsa",I833="Ara","Arabica",I833="Lib","Liberica")</f>
        <v>Arabica</v>
      </c>
      <c r="O833" t="str" cm="1">
        <f t="array" ref="O833">_xlfn.IFS(J833="M","Medium",J833="L","Light",J833="D","Dark")</f>
        <v>Dark</v>
      </c>
      <c r="P833" t="str">
        <f>_xlfn.XLOOKUP(Orders[[#This Row],[Customer ID]],customers!$A$1:$A$1001,customers!$I$1:$I$1001,,0)</f>
        <v>No</v>
      </c>
    </row>
    <row r="834" spans="1:16" x14ac:dyDescent="0.35">
      <c r="A834" s="2" t="s">
        <v>5193</v>
      </c>
      <c r="B834" s="5">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6">
        <f>INDEX(products!$A$1:$G$49,MATCH(orders!$D834,products!$A$1:$A$49,0),MATCH(K$1,products!$A$1:$G$1,0))</f>
        <v>1</v>
      </c>
      <c r="L834" s="7">
        <f>INDEX(products!$A$1:$G$49,MATCH(orders!$D834,products!$A$1:$A$49,0),MATCH(L$1,products!$A$1:$G$1,0))</f>
        <v>9.9499999999999993</v>
      </c>
      <c r="M834" s="7">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ID]],customers!$A$1:$A$1001,customers!$I$1:$I$1001,,0)</f>
        <v>No</v>
      </c>
    </row>
    <row r="835" spans="1:16" x14ac:dyDescent="0.35">
      <c r="A835" s="2" t="s">
        <v>5199</v>
      </c>
      <c r="B835" s="5">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6">
        <f>INDEX(products!$A$1:$G$49,MATCH(orders!$D835,products!$A$1:$A$49,0),MATCH(K$1,products!$A$1:$G$1,0))</f>
        <v>2.5</v>
      </c>
      <c r="L835" s="7">
        <f>INDEX(products!$A$1:$G$49,MATCH(orders!$D835,products!$A$1:$A$49,0),MATCH(L$1,products!$A$1:$G$1,0))</f>
        <v>20.584999999999997</v>
      </c>
      <c r="M835" s="7">
        <f t="shared" ref="M835:M898" si="13">PRODUCT(L835,E835)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ID]],customers!$A$1:$A$1001,customers!$I$1:$I$1001,,0)</f>
        <v>Yes</v>
      </c>
    </row>
    <row r="836" spans="1:16" x14ac:dyDescent="0.35">
      <c r="A836" s="2" t="s">
        <v>5205</v>
      </c>
      <c r="B836" s="5">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6">
        <f>INDEX(products!$A$1:$G$49,MATCH(orders!$D836,products!$A$1:$A$49,0),MATCH(K$1,products!$A$1:$G$1,0))</f>
        <v>2.5</v>
      </c>
      <c r="L836" s="7">
        <f>INDEX(products!$A$1:$G$49,MATCH(orders!$D836,products!$A$1:$A$49,0),MATCH(L$1,products!$A$1:$G$1,0))</f>
        <v>22.884999999999998</v>
      </c>
      <c r="M836" s="7">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ID]],customers!$A$1:$A$1001,customers!$I$1:$I$1001,,0)</f>
        <v>No</v>
      </c>
    </row>
    <row r="837" spans="1:16" x14ac:dyDescent="0.35">
      <c r="A837" s="2" t="s">
        <v>5211</v>
      </c>
      <c r="B837" s="5">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6">
        <f>INDEX(products!$A$1:$G$49,MATCH(orders!$D837,products!$A$1:$A$49,0),MATCH(K$1,products!$A$1:$G$1,0))</f>
        <v>0.5</v>
      </c>
      <c r="L837" s="7">
        <f>INDEX(products!$A$1:$G$49,MATCH(orders!$D837,products!$A$1:$A$49,0),MATCH(L$1,products!$A$1:$G$1,0))</f>
        <v>8.91</v>
      </c>
      <c r="M837" s="7">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ID]],customers!$A$1:$A$1001,customers!$I$1:$I$1001,,0)</f>
        <v>Yes</v>
      </c>
    </row>
    <row r="838" spans="1:16" x14ac:dyDescent="0.35">
      <c r="A838" s="2" t="s">
        <v>5216</v>
      </c>
      <c r="B838" s="5">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6">
        <f>INDEX(products!$A$1:$G$49,MATCH(orders!$D838,products!$A$1:$A$49,0),MATCH(K$1,products!$A$1:$G$1,0))</f>
        <v>0.2</v>
      </c>
      <c r="L838" s="7">
        <f>INDEX(products!$A$1:$G$49,MATCH(orders!$D838,products!$A$1:$A$49,0),MATCH(L$1,products!$A$1:$G$1,0))</f>
        <v>2.9849999999999999</v>
      </c>
      <c r="M838" s="7">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ID]],customers!$A$1:$A$1001,customers!$I$1:$I$1001,,0)</f>
        <v>No</v>
      </c>
    </row>
    <row r="839" spans="1:16" x14ac:dyDescent="0.35">
      <c r="A839" s="2" t="s">
        <v>5222</v>
      </c>
      <c r="B839" s="5">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6">
        <f>INDEX(products!$A$1:$G$49,MATCH(orders!$D839,products!$A$1:$A$49,0),MATCH(K$1,products!$A$1:$G$1,0))</f>
        <v>2.5</v>
      </c>
      <c r="L839" s="7">
        <f>INDEX(products!$A$1:$G$49,MATCH(orders!$D839,products!$A$1:$A$49,0),MATCH(L$1,products!$A$1:$G$1,0))</f>
        <v>33.464999999999996</v>
      </c>
      <c r="M839" s="7">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ID]],customers!$A$1:$A$1001,customers!$I$1:$I$1001,,0)</f>
        <v>No</v>
      </c>
    </row>
    <row r="840" spans="1:16" x14ac:dyDescent="0.35">
      <c r="A840" s="2" t="s">
        <v>5228</v>
      </c>
      <c r="B840" s="5">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6">
        <f>INDEX(products!$A$1:$G$49,MATCH(orders!$D840,products!$A$1:$A$49,0),MATCH(K$1,products!$A$1:$G$1,0))</f>
        <v>2.5</v>
      </c>
      <c r="L840" s="7">
        <f>INDEX(products!$A$1:$G$49,MATCH(orders!$D840,products!$A$1:$A$49,0),MATCH(L$1,products!$A$1:$G$1,0))</f>
        <v>22.884999999999998</v>
      </c>
      <c r="M840" s="7">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ID]],customers!$A$1:$A$1001,customers!$I$1:$I$1001,,0)</f>
        <v>No</v>
      </c>
    </row>
    <row r="841" spans="1:16" x14ac:dyDescent="0.35">
      <c r="A841" s="2" t="s">
        <v>5234</v>
      </c>
      <c r="B841" s="5">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6">
        <f>INDEX(products!$A$1:$G$49,MATCH(orders!$D841,products!$A$1:$A$49,0),MATCH(K$1,products!$A$1:$G$1,0))</f>
        <v>0.5</v>
      </c>
      <c r="L841" s="7">
        <f>INDEX(products!$A$1:$G$49,MATCH(orders!$D841,products!$A$1:$A$49,0),MATCH(L$1,products!$A$1:$G$1,0))</f>
        <v>8.25</v>
      </c>
      <c r="M841" s="7">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ID]],customers!$A$1:$A$1001,customers!$I$1:$I$1001,,0)</f>
        <v>No</v>
      </c>
    </row>
    <row r="842" spans="1:16" x14ac:dyDescent="0.35">
      <c r="A842" s="2" t="s">
        <v>5240</v>
      </c>
      <c r="B842" s="5">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6">
        <f>INDEX(products!$A$1:$G$49,MATCH(orders!$D842,products!$A$1:$A$49,0),MATCH(K$1,products!$A$1:$G$1,0))</f>
        <v>0.5</v>
      </c>
      <c r="L842" s="7">
        <f>INDEX(products!$A$1:$G$49,MATCH(orders!$D842,products!$A$1:$A$49,0),MATCH(L$1,products!$A$1:$G$1,0))</f>
        <v>7.169999999999999</v>
      </c>
      <c r="M842" s="7">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ID]],customers!$A$1:$A$1001,customers!$I$1:$I$1001,,0)</f>
        <v>Yes</v>
      </c>
    </row>
    <row r="843" spans="1:16" x14ac:dyDescent="0.35">
      <c r="A843" s="2" t="s">
        <v>5246</v>
      </c>
      <c r="B843" s="5">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6">
        <f>INDEX(products!$A$1:$G$49,MATCH(orders!$D843,products!$A$1:$A$49,0),MATCH(K$1,products!$A$1:$G$1,0))</f>
        <v>0.2</v>
      </c>
      <c r="L843" s="7">
        <f>INDEX(products!$A$1:$G$49,MATCH(orders!$D843,products!$A$1:$A$49,0),MATCH(L$1,products!$A$1:$G$1,0))</f>
        <v>4.3650000000000002</v>
      </c>
      <c r="M843" s="7">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ID]],customers!$A$1:$A$1001,customers!$I$1:$I$1001,,0)</f>
        <v>No</v>
      </c>
    </row>
    <row r="844" spans="1:16" x14ac:dyDescent="0.35">
      <c r="A844" s="2" t="s">
        <v>5251</v>
      </c>
      <c r="B844" s="5">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6">
        <f>INDEX(products!$A$1:$G$49,MATCH(orders!$D844,products!$A$1:$A$49,0),MATCH(K$1,products!$A$1:$G$1,0))</f>
        <v>0.2</v>
      </c>
      <c r="L844" s="7">
        <f>INDEX(products!$A$1:$G$49,MATCH(orders!$D844,products!$A$1:$A$49,0),MATCH(L$1,products!$A$1:$G$1,0))</f>
        <v>4.125</v>
      </c>
      <c r="M844" s="7">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ID]],customers!$A$1:$A$1001,customers!$I$1:$I$1001,,0)</f>
        <v>Yes</v>
      </c>
    </row>
    <row r="845" spans="1:16" x14ac:dyDescent="0.35">
      <c r="A845" s="2" t="s">
        <v>5256</v>
      </c>
      <c r="B845" s="5">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6">
        <f>INDEX(products!$A$1:$G$49,MATCH(orders!$D845,products!$A$1:$A$49,0),MATCH(K$1,products!$A$1:$G$1,0))</f>
        <v>0.2</v>
      </c>
      <c r="L845" s="7">
        <f>INDEX(products!$A$1:$G$49,MATCH(orders!$D845,products!$A$1:$A$49,0),MATCH(L$1,products!$A$1:$G$1,0))</f>
        <v>4.125</v>
      </c>
      <c r="M845" s="7">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ID]],customers!$A$1:$A$1001,customers!$I$1:$I$1001,,0)</f>
        <v>Yes</v>
      </c>
    </row>
    <row r="846" spans="1:16" x14ac:dyDescent="0.35">
      <c r="A846" s="2" t="s">
        <v>5262</v>
      </c>
      <c r="B846" s="5">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6">
        <f>INDEX(products!$A$1:$G$49,MATCH(orders!$D846,products!$A$1:$A$49,0),MATCH(K$1,products!$A$1:$G$1,0))</f>
        <v>0.5</v>
      </c>
      <c r="L846" s="7">
        <f>INDEX(products!$A$1:$G$49,MATCH(orders!$D846,products!$A$1:$A$49,0),MATCH(L$1,products!$A$1:$G$1,0))</f>
        <v>5.97</v>
      </c>
      <c r="M846" s="7">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ID]],customers!$A$1:$A$1001,customers!$I$1:$I$1001,,0)</f>
        <v>Yes</v>
      </c>
    </row>
    <row r="847" spans="1:16" x14ac:dyDescent="0.35">
      <c r="A847" s="2" t="s">
        <v>5268</v>
      </c>
      <c r="B847" s="5">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6">
        <f>INDEX(products!$A$1:$G$49,MATCH(orders!$D847,products!$A$1:$A$49,0),MATCH(K$1,products!$A$1:$G$1,0))</f>
        <v>2.5</v>
      </c>
      <c r="L847" s="7">
        <f>INDEX(products!$A$1:$G$49,MATCH(orders!$D847,products!$A$1:$A$49,0),MATCH(L$1,products!$A$1:$G$1,0))</f>
        <v>27.945</v>
      </c>
      <c r="M847" s="7">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ID]],customers!$A$1:$A$1001,customers!$I$1:$I$1001,,0)</f>
        <v>No</v>
      </c>
    </row>
    <row r="848" spans="1:16" x14ac:dyDescent="0.35">
      <c r="A848" s="2" t="s">
        <v>5273</v>
      </c>
      <c r="B848" s="5">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6">
        <f>INDEX(products!$A$1:$G$49,MATCH(orders!$D848,products!$A$1:$A$49,0),MATCH(K$1,products!$A$1:$G$1,0))</f>
        <v>2.5</v>
      </c>
      <c r="L848" s="7">
        <f>INDEX(products!$A$1:$G$49,MATCH(orders!$D848,products!$A$1:$A$49,0),MATCH(L$1,products!$A$1:$G$1,0))</f>
        <v>25.874999999999996</v>
      </c>
      <c r="M848" s="7">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ID]],customers!$A$1:$A$1001,customers!$I$1:$I$1001,,0)</f>
        <v>Yes</v>
      </c>
    </row>
    <row r="849" spans="1:16" x14ac:dyDescent="0.35">
      <c r="A849" s="2" t="s">
        <v>5278</v>
      </c>
      <c r="B849" s="5">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6">
        <f>INDEX(products!$A$1:$G$49,MATCH(orders!$D849,products!$A$1:$A$49,0),MATCH(K$1,products!$A$1:$G$1,0))</f>
        <v>0.2</v>
      </c>
      <c r="L849" s="7">
        <f>INDEX(products!$A$1:$G$49,MATCH(orders!$D849,products!$A$1:$A$49,0),MATCH(L$1,products!$A$1:$G$1,0))</f>
        <v>2.9849999999999999</v>
      </c>
      <c r="M849" s="7">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ID]],customers!$A$1:$A$1001,customers!$I$1:$I$1001,,0)</f>
        <v>Yes</v>
      </c>
    </row>
    <row r="850" spans="1:16" x14ac:dyDescent="0.35">
      <c r="A850" s="2" t="s">
        <v>5283</v>
      </c>
      <c r="B850" s="5">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6">
        <f>INDEX(products!$A$1:$G$49,MATCH(orders!$D850,products!$A$1:$A$49,0),MATCH(K$1,products!$A$1:$G$1,0))</f>
        <v>0.5</v>
      </c>
      <c r="L850" s="7">
        <f>INDEX(products!$A$1:$G$49,MATCH(orders!$D850,products!$A$1:$A$49,0),MATCH(L$1,products!$A$1:$G$1,0))</f>
        <v>8.91</v>
      </c>
      <c r="M850" s="7">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ID]],customers!$A$1:$A$1001,customers!$I$1:$I$1001,,0)</f>
        <v>No</v>
      </c>
    </row>
    <row r="851" spans="1:16" x14ac:dyDescent="0.35">
      <c r="A851" s="2" t="s">
        <v>5288</v>
      </c>
      <c r="B851" s="5">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6">
        <f>INDEX(products!$A$1:$G$49,MATCH(orders!$D851,products!$A$1:$A$49,0),MATCH(K$1,products!$A$1:$G$1,0))</f>
        <v>0.2</v>
      </c>
      <c r="L851" s="7">
        <f>INDEX(products!$A$1:$G$49,MATCH(orders!$D851,products!$A$1:$A$49,0),MATCH(L$1,products!$A$1:$G$1,0))</f>
        <v>3.8849999999999998</v>
      </c>
      <c r="M851" s="7">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ID]],customers!$A$1:$A$1001,customers!$I$1:$I$1001,,0)</f>
        <v>Yes</v>
      </c>
    </row>
    <row r="852" spans="1:16" x14ac:dyDescent="0.35">
      <c r="A852" s="2" t="s">
        <v>5288</v>
      </c>
      <c r="B852" s="5">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6">
        <f>INDEX(products!$A$1:$G$49,MATCH(orders!$D852,products!$A$1:$A$49,0),MATCH(K$1,products!$A$1:$G$1,0))</f>
        <v>0.2</v>
      </c>
      <c r="L852" s="7">
        <f>INDEX(products!$A$1:$G$49,MATCH(orders!$D852,products!$A$1:$A$49,0),MATCH(L$1,products!$A$1:$G$1,0))</f>
        <v>3.375</v>
      </c>
      <c r="M852" s="7">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ID]],customers!$A$1:$A$1001,customers!$I$1:$I$1001,,0)</f>
        <v>Yes</v>
      </c>
    </row>
    <row r="853" spans="1:16" x14ac:dyDescent="0.35">
      <c r="A853" s="2" t="s">
        <v>5299</v>
      </c>
      <c r="B853" s="5">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6">
        <f>INDEX(products!$A$1:$G$49,MATCH(orders!$D853,products!$A$1:$A$49,0),MATCH(K$1,products!$A$1:$G$1,0))</f>
        <v>0.5</v>
      </c>
      <c r="L853" s="7">
        <f>INDEX(products!$A$1:$G$49,MATCH(orders!$D853,products!$A$1:$A$49,0),MATCH(L$1,products!$A$1:$G$1,0))</f>
        <v>7.77</v>
      </c>
      <c r="M853" s="7">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ID]],customers!$A$1:$A$1001,customers!$I$1:$I$1001,,0)</f>
        <v>Yes</v>
      </c>
    </row>
    <row r="854" spans="1:16" x14ac:dyDescent="0.35">
      <c r="A854" s="2" t="s">
        <v>5305</v>
      </c>
      <c r="B854" s="5">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6">
        <f>INDEX(products!$A$1:$G$49,MATCH(orders!$D854,products!$A$1:$A$49,0),MATCH(K$1,products!$A$1:$G$1,0))</f>
        <v>2.5</v>
      </c>
      <c r="L854" s="7">
        <f>INDEX(products!$A$1:$G$49,MATCH(orders!$D854,products!$A$1:$A$49,0),MATCH(L$1,products!$A$1:$G$1,0))</f>
        <v>29.784999999999997</v>
      </c>
      <c r="M854" s="7">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ID]],customers!$A$1:$A$1001,customers!$I$1:$I$1001,,0)</f>
        <v>Yes</v>
      </c>
    </row>
    <row r="855" spans="1:16" x14ac:dyDescent="0.35">
      <c r="A855" s="2" t="s">
        <v>5310</v>
      </c>
      <c r="B855" s="5">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6">
        <f>INDEX(products!$A$1:$G$49,MATCH(orders!$D855,products!$A$1:$A$49,0),MATCH(K$1,products!$A$1:$G$1,0))</f>
        <v>1</v>
      </c>
      <c r="L855" s="7">
        <f>INDEX(products!$A$1:$G$49,MATCH(orders!$D855,products!$A$1:$A$49,0),MATCH(L$1,products!$A$1:$G$1,0))</f>
        <v>9.9499999999999993</v>
      </c>
      <c r="M855" s="7">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ID]],customers!$A$1:$A$1001,customers!$I$1:$I$1001,,0)</f>
        <v>No</v>
      </c>
    </row>
    <row r="856" spans="1:16" x14ac:dyDescent="0.35">
      <c r="A856" s="2" t="s">
        <v>5315</v>
      </c>
      <c r="B856" s="5">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6">
        <f>INDEX(products!$A$1:$G$49,MATCH(orders!$D856,products!$A$1:$A$49,0),MATCH(K$1,products!$A$1:$G$1,0))</f>
        <v>0.5</v>
      </c>
      <c r="L856" s="7">
        <f>INDEX(products!$A$1:$G$49,MATCH(orders!$D856,products!$A$1:$A$49,0),MATCH(L$1,products!$A$1:$G$1,0))</f>
        <v>7.169999999999999</v>
      </c>
      <c r="M856" s="7">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ID]],customers!$A$1:$A$1001,customers!$I$1:$I$1001,,0)</f>
        <v>Yes</v>
      </c>
    </row>
    <row r="857" spans="1:16" x14ac:dyDescent="0.35">
      <c r="A857" s="2" t="s">
        <v>5321</v>
      </c>
      <c r="B857" s="5">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6">
        <f>INDEX(products!$A$1:$G$49,MATCH(orders!$D857,products!$A$1:$A$49,0),MATCH(K$1,products!$A$1:$G$1,0))</f>
        <v>2.5</v>
      </c>
      <c r="L857" s="7">
        <f>INDEX(products!$A$1:$G$49,MATCH(orders!$D857,products!$A$1:$A$49,0),MATCH(L$1,products!$A$1:$G$1,0))</f>
        <v>29.784999999999997</v>
      </c>
      <c r="M857" s="7">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ID]],customers!$A$1:$A$1001,customers!$I$1:$I$1001,,0)</f>
        <v>No</v>
      </c>
    </row>
    <row r="858" spans="1:16" x14ac:dyDescent="0.35">
      <c r="A858" s="2" t="s">
        <v>5327</v>
      </c>
      <c r="B858" s="5">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6">
        <f>INDEX(products!$A$1:$G$49,MATCH(orders!$D858,products!$A$1:$A$49,0),MATCH(K$1,products!$A$1:$G$1,0))</f>
        <v>0.2</v>
      </c>
      <c r="L858" s="7">
        <f>INDEX(products!$A$1:$G$49,MATCH(orders!$D858,products!$A$1:$A$49,0),MATCH(L$1,products!$A$1:$G$1,0))</f>
        <v>4.3650000000000002</v>
      </c>
      <c r="M858" s="7">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ID]],customers!$A$1:$A$1001,customers!$I$1:$I$1001,,0)</f>
        <v>Yes</v>
      </c>
    </row>
    <row r="859" spans="1:16" x14ac:dyDescent="0.35">
      <c r="A859" s="2" t="s">
        <v>5333</v>
      </c>
      <c r="B859" s="5">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6">
        <f>INDEX(products!$A$1:$G$49,MATCH(orders!$D859,products!$A$1:$A$49,0),MATCH(K$1,products!$A$1:$G$1,0))</f>
        <v>2.5</v>
      </c>
      <c r="L859" s="7">
        <f>INDEX(products!$A$1:$G$49,MATCH(orders!$D859,products!$A$1:$A$49,0),MATCH(L$1,products!$A$1:$G$1,0))</f>
        <v>27.484999999999996</v>
      </c>
      <c r="M859" s="7">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ID]],customers!$A$1:$A$1001,customers!$I$1:$I$1001,,0)</f>
        <v>No</v>
      </c>
    </row>
    <row r="860" spans="1:16" x14ac:dyDescent="0.35">
      <c r="A860" s="2" t="s">
        <v>5339</v>
      </c>
      <c r="B860" s="5">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6">
        <f>INDEX(products!$A$1:$G$49,MATCH(orders!$D860,products!$A$1:$A$49,0),MATCH(K$1,products!$A$1:$G$1,0))</f>
        <v>0.5</v>
      </c>
      <c r="L860" s="7">
        <f>INDEX(products!$A$1:$G$49,MATCH(orders!$D860,products!$A$1:$A$49,0),MATCH(L$1,products!$A$1:$G$1,0))</f>
        <v>8.73</v>
      </c>
      <c r="M860" s="7">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ID]],customers!$A$1:$A$1001,customers!$I$1:$I$1001,,0)</f>
        <v>No</v>
      </c>
    </row>
    <row r="861" spans="1:16" x14ac:dyDescent="0.35">
      <c r="A861" s="2" t="s">
        <v>5345</v>
      </c>
      <c r="B861" s="5">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6">
        <f>INDEX(products!$A$1:$G$49,MATCH(orders!$D861,products!$A$1:$A$49,0),MATCH(K$1,products!$A$1:$G$1,0))</f>
        <v>2.5</v>
      </c>
      <c r="L861" s="7">
        <f>INDEX(products!$A$1:$G$49,MATCH(orders!$D861,products!$A$1:$A$49,0),MATCH(L$1,products!$A$1:$G$1,0))</f>
        <v>29.784999999999997</v>
      </c>
      <c r="M861" s="7">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ID]],customers!$A$1:$A$1001,customers!$I$1:$I$1001,,0)</f>
        <v>No</v>
      </c>
    </row>
    <row r="862" spans="1:16" x14ac:dyDescent="0.35">
      <c r="A862" s="2" t="s">
        <v>5351</v>
      </c>
      <c r="B862" s="5">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6">
        <f>INDEX(products!$A$1:$G$49,MATCH(orders!$D862,products!$A$1:$A$49,0),MATCH(K$1,products!$A$1:$G$1,0))</f>
        <v>2.5</v>
      </c>
      <c r="L862" s="7">
        <f>INDEX(products!$A$1:$G$49,MATCH(orders!$D862,products!$A$1:$A$49,0),MATCH(L$1,products!$A$1:$G$1,0))</f>
        <v>25.874999999999996</v>
      </c>
      <c r="M862" s="7">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ID]],customers!$A$1:$A$1001,customers!$I$1:$I$1001,,0)</f>
        <v>No</v>
      </c>
    </row>
    <row r="863" spans="1:16" x14ac:dyDescent="0.35">
      <c r="A863" s="2" t="s">
        <v>5356</v>
      </c>
      <c r="B863" s="5">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6">
        <f>INDEX(products!$A$1:$G$49,MATCH(orders!$D863,products!$A$1:$A$49,0),MATCH(K$1,products!$A$1:$G$1,0))</f>
        <v>1</v>
      </c>
      <c r="L863" s="7">
        <f>INDEX(products!$A$1:$G$49,MATCH(orders!$D863,products!$A$1:$A$49,0),MATCH(L$1,products!$A$1:$G$1,0))</f>
        <v>12.95</v>
      </c>
      <c r="M863" s="7">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ID]],customers!$A$1:$A$1001,customers!$I$1:$I$1001,,0)</f>
        <v>Yes</v>
      </c>
    </row>
    <row r="864" spans="1:16" x14ac:dyDescent="0.35">
      <c r="A864" s="2" t="s">
        <v>5362</v>
      </c>
      <c r="B864" s="5">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6">
        <f>INDEX(products!$A$1:$G$49,MATCH(orders!$D864,products!$A$1:$A$49,0),MATCH(K$1,products!$A$1:$G$1,0))</f>
        <v>1</v>
      </c>
      <c r="L864" s="7">
        <f>INDEX(products!$A$1:$G$49,MATCH(orders!$D864,products!$A$1:$A$49,0),MATCH(L$1,products!$A$1:$G$1,0))</f>
        <v>9.9499999999999993</v>
      </c>
      <c r="M864" s="7">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ID]],customers!$A$1:$A$1001,customers!$I$1:$I$1001,,0)</f>
        <v>Yes</v>
      </c>
    </row>
    <row r="865" spans="1:16" x14ac:dyDescent="0.35">
      <c r="A865" s="2" t="s">
        <v>5368</v>
      </c>
      <c r="B865" s="5">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6">
        <f>INDEX(products!$A$1:$G$49,MATCH(orders!$D865,products!$A$1:$A$49,0),MATCH(K$1,products!$A$1:$G$1,0))</f>
        <v>1</v>
      </c>
      <c r="L865" s="7">
        <f>INDEX(products!$A$1:$G$49,MATCH(orders!$D865,products!$A$1:$A$49,0),MATCH(L$1,products!$A$1:$G$1,0))</f>
        <v>14.55</v>
      </c>
      <c r="M865" s="7">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ID]],customers!$A$1:$A$1001,customers!$I$1:$I$1001,,0)</f>
        <v>Yes</v>
      </c>
    </row>
    <row r="866" spans="1:16" x14ac:dyDescent="0.35">
      <c r="A866" s="2" t="s">
        <v>5374</v>
      </c>
      <c r="B866" s="5">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6">
        <f>INDEX(products!$A$1:$G$49,MATCH(orders!$D866,products!$A$1:$A$49,0),MATCH(K$1,products!$A$1:$G$1,0))</f>
        <v>0.2</v>
      </c>
      <c r="L866" s="7">
        <f>INDEX(products!$A$1:$G$49,MATCH(orders!$D866,products!$A$1:$A$49,0),MATCH(L$1,products!$A$1:$G$1,0))</f>
        <v>3.5849999999999995</v>
      </c>
      <c r="M866" s="7">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ID]],customers!$A$1:$A$1001,customers!$I$1:$I$1001,,0)</f>
        <v>No</v>
      </c>
    </row>
    <row r="867" spans="1:16" x14ac:dyDescent="0.35">
      <c r="A867" s="2" t="s">
        <v>5380</v>
      </c>
      <c r="B867" s="5">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6">
        <f>INDEX(products!$A$1:$G$49,MATCH(orders!$D867,products!$A$1:$A$49,0),MATCH(K$1,products!$A$1:$G$1,0))</f>
        <v>0.5</v>
      </c>
      <c r="L867" s="7">
        <f>INDEX(products!$A$1:$G$49,MATCH(orders!$D867,products!$A$1:$A$49,0),MATCH(L$1,products!$A$1:$G$1,0))</f>
        <v>6.75</v>
      </c>
      <c r="M867" s="7">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ID]],customers!$A$1:$A$1001,customers!$I$1:$I$1001,,0)</f>
        <v>Yes</v>
      </c>
    </row>
    <row r="868" spans="1:16" x14ac:dyDescent="0.35">
      <c r="A868" s="2" t="s">
        <v>5385</v>
      </c>
      <c r="B868" s="5">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6">
        <f>INDEX(products!$A$1:$G$49,MATCH(orders!$D868,products!$A$1:$A$49,0),MATCH(K$1,products!$A$1:$G$1,0))</f>
        <v>0.5</v>
      </c>
      <c r="L868" s="7">
        <f>INDEX(products!$A$1:$G$49,MATCH(orders!$D868,products!$A$1:$A$49,0),MATCH(L$1,products!$A$1:$G$1,0))</f>
        <v>5.97</v>
      </c>
      <c r="M868" s="7">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ID]],customers!$A$1:$A$1001,customers!$I$1:$I$1001,,0)</f>
        <v>No</v>
      </c>
    </row>
    <row r="869" spans="1:16" x14ac:dyDescent="0.35">
      <c r="A869" s="2" t="s">
        <v>5391</v>
      </c>
      <c r="B869" s="5">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6">
        <f>INDEX(products!$A$1:$G$49,MATCH(orders!$D869,products!$A$1:$A$49,0),MATCH(K$1,products!$A$1:$G$1,0))</f>
        <v>2.5</v>
      </c>
      <c r="L869" s="7">
        <f>INDEX(products!$A$1:$G$49,MATCH(orders!$D869,products!$A$1:$A$49,0),MATCH(L$1,products!$A$1:$G$1,0))</f>
        <v>29.784999999999997</v>
      </c>
      <c r="M869" s="7">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ID]],customers!$A$1:$A$1001,customers!$I$1:$I$1001,,0)</f>
        <v>Yes</v>
      </c>
    </row>
    <row r="870" spans="1:16" x14ac:dyDescent="0.35">
      <c r="A870" s="2" t="s">
        <v>5396</v>
      </c>
      <c r="B870" s="5">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6">
        <f>INDEX(products!$A$1:$G$49,MATCH(orders!$D870,products!$A$1:$A$49,0),MATCH(K$1,products!$A$1:$G$1,0))</f>
        <v>0.5</v>
      </c>
      <c r="L870" s="7">
        <f>INDEX(products!$A$1:$G$49,MATCH(orders!$D870,products!$A$1:$A$49,0),MATCH(L$1,products!$A$1:$G$1,0))</f>
        <v>8.25</v>
      </c>
      <c r="M870" s="7">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ID]],customers!$A$1:$A$1001,customers!$I$1:$I$1001,,0)</f>
        <v>Yes</v>
      </c>
    </row>
    <row r="871" spans="1:16" x14ac:dyDescent="0.35">
      <c r="A871" s="2" t="s">
        <v>5402</v>
      </c>
      <c r="B871" s="5">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6">
        <f>INDEX(products!$A$1:$G$49,MATCH(orders!$D871,products!$A$1:$A$49,0),MATCH(K$1,products!$A$1:$G$1,0))</f>
        <v>0.5</v>
      </c>
      <c r="L871" s="7">
        <f>INDEX(products!$A$1:$G$49,MATCH(orders!$D871,products!$A$1:$A$49,0),MATCH(L$1,products!$A$1:$G$1,0))</f>
        <v>5.97</v>
      </c>
      <c r="M871" s="7">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ID]],customers!$A$1:$A$1001,customers!$I$1:$I$1001,,0)</f>
        <v>Yes</v>
      </c>
    </row>
    <row r="872" spans="1:16" x14ac:dyDescent="0.35">
      <c r="A872" s="2" t="s">
        <v>5407</v>
      </c>
      <c r="B872" s="5">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6">
        <f>INDEX(products!$A$1:$G$49,MATCH(orders!$D872,products!$A$1:$A$49,0),MATCH(K$1,products!$A$1:$G$1,0))</f>
        <v>0.5</v>
      </c>
      <c r="L872" s="7">
        <f>INDEX(products!$A$1:$G$49,MATCH(orders!$D872,products!$A$1:$A$49,0),MATCH(L$1,products!$A$1:$G$1,0))</f>
        <v>7.29</v>
      </c>
      <c r="M872" s="7">
        <f t="shared" si="13"/>
        <v>7.29</v>
      </c>
      <c r="N872" t="str" cm="1">
        <f t="array" ref="N872">_xlfn.IFS(I872="Rob","Robusta",I872="Exc","Excelsa",I872="Ara","Arabica",I872="Lib","Liberica")</f>
        <v>Excelsa</v>
      </c>
      <c r="O872" t="str" cm="1">
        <f t="array" ref="O872">_xlfn.IFS(J872="M","Medium",J872="L","Light",J872="D","Dark")</f>
        <v>Dark</v>
      </c>
      <c r="P872" t="str">
        <f>_xlfn.XLOOKUP(Orders[[#This Row],[Customer ID]],customers!$A$1:$A$1001,customers!$I$1:$I$1001,,0)</f>
        <v>Yes</v>
      </c>
    </row>
    <row r="873" spans="1:16" x14ac:dyDescent="0.35">
      <c r="A873" s="2" t="s">
        <v>5413</v>
      </c>
      <c r="B873" s="5">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6">
        <f>INDEX(products!$A$1:$G$49,MATCH(orders!$D873,products!$A$1:$A$49,0),MATCH(K$1,products!$A$1:$G$1,0))</f>
        <v>1</v>
      </c>
      <c r="L873" s="7">
        <f>INDEX(products!$A$1:$G$49,MATCH(orders!$D873,products!$A$1:$A$49,0),MATCH(L$1,products!$A$1:$G$1,0))</f>
        <v>14.85</v>
      </c>
      <c r="M873" s="7">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ID]],customers!$A$1:$A$1001,customers!$I$1:$I$1001,,0)</f>
        <v>Yes</v>
      </c>
    </row>
    <row r="874" spans="1:16" x14ac:dyDescent="0.35">
      <c r="A874" s="2" t="s">
        <v>5421</v>
      </c>
      <c r="B874" s="5">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6">
        <f>INDEX(products!$A$1:$G$49,MATCH(orders!$D874,products!$A$1:$A$49,0),MATCH(K$1,products!$A$1:$G$1,0))</f>
        <v>1</v>
      </c>
      <c r="L874" s="7">
        <f>INDEX(products!$A$1:$G$49,MATCH(orders!$D874,products!$A$1:$A$49,0),MATCH(L$1,products!$A$1:$G$1,0))</f>
        <v>11.25</v>
      </c>
      <c r="M874" s="7">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ID]],customers!$A$1:$A$1001,customers!$I$1:$I$1001,,0)</f>
        <v>No</v>
      </c>
    </row>
    <row r="875" spans="1:16" x14ac:dyDescent="0.35">
      <c r="A875" s="2" t="s">
        <v>5427</v>
      </c>
      <c r="B875" s="5">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6">
        <f>INDEX(products!$A$1:$G$49,MATCH(orders!$D875,products!$A$1:$A$49,0),MATCH(K$1,products!$A$1:$G$1,0))</f>
        <v>0.2</v>
      </c>
      <c r="L875" s="7">
        <f>INDEX(products!$A$1:$G$49,MATCH(orders!$D875,products!$A$1:$A$49,0),MATCH(L$1,products!$A$1:$G$1,0))</f>
        <v>2.9849999999999999</v>
      </c>
      <c r="M875" s="7">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ID]],customers!$A$1:$A$1001,customers!$I$1:$I$1001,,0)</f>
        <v>Yes</v>
      </c>
    </row>
    <row r="876" spans="1:16" x14ac:dyDescent="0.35">
      <c r="A876" s="2" t="s">
        <v>5433</v>
      </c>
      <c r="B876" s="5">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6">
        <f>INDEX(products!$A$1:$G$49,MATCH(orders!$D876,products!$A$1:$A$49,0),MATCH(K$1,products!$A$1:$G$1,0))</f>
        <v>1</v>
      </c>
      <c r="L876" s="7">
        <f>INDEX(products!$A$1:$G$49,MATCH(orders!$D876,products!$A$1:$A$49,0),MATCH(L$1,products!$A$1:$G$1,0))</f>
        <v>12.95</v>
      </c>
      <c r="M876" s="7">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ID]],customers!$A$1:$A$1001,customers!$I$1:$I$1001,,0)</f>
        <v>No</v>
      </c>
    </row>
    <row r="877" spans="1:16" x14ac:dyDescent="0.35">
      <c r="A877" s="2" t="s">
        <v>5439</v>
      </c>
      <c r="B877" s="5">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6">
        <f>INDEX(products!$A$1:$G$49,MATCH(orders!$D877,products!$A$1:$A$49,0),MATCH(K$1,products!$A$1:$G$1,0))</f>
        <v>0.5</v>
      </c>
      <c r="L877" s="7">
        <f>INDEX(products!$A$1:$G$49,MATCH(orders!$D877,products!$A$1:$A$49,0),MATCH(L$1,products!$A$1:$G$1,0))</f>
        <v>8.73</v>
      </c>
      <c r="M877" s="7">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ID]],customers!$A$1:$A$1001,customers!$I$1:$I$1001,,0)</f>
        <v>No</v>
      </c>
    </row>
    <row r="878" spans="1:16" x14ac:dyDescent="0.35">
      <c r="A878" s="2" t="s">
        <v>5439</v>
      </c>
      <c r="B878" s="5">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6">
        <f>INDEX(products!$A$1:$G$49,MATCH(orders!$D878,products!$A$1:$A$49,0),MATCH(K$1,products!$A$1:$G$1,0))</f>
        <v>0.5</v>
      </c>
      <c r="L878" s="7">
        <f>INDEX(products!$A$1:$G$49,MATCH(orders!$D878,products!$A$1:$A$49,0),MATCH(L$1,products!$A$1:$G$1,0))</f>
        <v>7.77</v>
      </c>
      <c r="M878" s="7">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ID]],customers!$A$1:$A$1001,customers!$I$1:$I$1001,,0)</f>
        <v>No</v>
      </c>
    </row>
    <row r="879" spans="1:16" x14ac:dyDescent="0.35">
      <c r="A879" s="2" t="s">
        <v>5450</v>
      </c>
      <c r="B879" s="5">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6">
        <f>INDEX(products!$A$1:$G$49,MATCH(orders!$D879,products!$A$1:$A$49,0),MATCH(K$1,products!$A$1:$G$1,0))</f>
        <v>0.5</v>
      </c>
      <c r="L879" s="7">
        <f>INDEX(products!$A$1:$G$49,MATCH(orders!$D879,products!$A$1:$A$49,0),MATCH(L$1,products!$A$1:$G$1,0))</f>
        <v>9.51</v>
      </c>
      <c r="M879" s="7">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ID]],customers!$A$1:$A$1001,customers!$I$1:$I$1001,,0)</f>
        <v>No</v>
      </c>
    </row>
    <row r="880" spans="1:16" x14ac:dyDescent="0.35">
      <c r="A880" s="2" t="s">
        <v>5456</v>
      </c>
      <c r="B880" s="5">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6">
        <f>INDEX(products!$A$1:$G$49,MATCH(orders!$D880,products!$A$1:$A$49,0),MATCH(K$1,products!$A$1:$G$1,0))</f>
        <v>2.5</v>
      </c>
      <c r="L880" s="7">
        <f>INDEX(products!$A$1:$G$49,MATCH(orders!$D880,products!$A$1:$A$49,0),MATCH(L$1,products!$A$1:$G$1,0))</f>
        <v>27.484999999999996</v>
      </c>
      <c r="M880" s="7">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ID]],customers!$A$1:$A$1001,customers!$I$1:$I$1001,,0)</f>
        <v>Yes</v>
      </c>
    </row>
    <row r="881" spans="1:16" x14ac:dyDescent="0.35">
      <c r="A881" s="2" t="s">
        <v>5461</v>
      </c>
      <c r="B881" s="5">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6">
        <f>INDEX(products!$A$1:$G$49,MATCH(orders!$D881,products!$A$1:$A$49,0),MATCH(K$1,products!$A$1:$G$1,0))</f>
        <v>0.2</v>
      </c>
      <c r="L881" s="7">
        <f>INDEX(products!$A$1:$G$49,MATCH(orders!$D881,products!$A$1:$A$49,0),MATCH(L$1,products!$A$1:$G$1,0))</f>
        <v>3.645</v>
      </c>
      <c r="M881" s="7">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ID]],customers!$A$1:$A$1001,customers!$I$1:$I$1001,,0)</f>
        <v>No</v>
      </c>
    </row>
    <row r="882" spans="1:16" x14ac:dyDescent="0.35">
      <c r="A882" s="2" t="s">
        <v>5466</v>
      </c>
      <c r="B882" s="5">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6">
        <f>INDEX(products!$A$1:$G$49,MATCH(orders!$D882,products!$A$1:$A$49,0),MATCH(K$1,products!$A$1:$G$1,0))</f>
        <v>0.2</v>
      </c>
      <c r="L882" s="7">
        <f>INDEX(products!$A$1:$G$49,MATCH(orders!$D882,products!$A$1:$A$49,0),MATCH(L$1,products!$A$1:$G$1,0))</f>
        <v>3.5849999999999995</v>
      </c>
      <c r="M882" s="7">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ID]],customers!$A$1:$A$1001,customers!$I$1:$I$1001,,0)</f>
        <v>No</v>
      </c>
    </row>
    <row r="883" spans="1:16" x14ac:dyDescent="0.35">
      <c r="A883" s="2" t="s">
        <v>5472</v>
      </c>
      <c r="B883" s="5">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6">
        <f>INDEX(products!$A$1:$G$49,MATCH(orders!$D883,products!$A$1:$A$49,0),MATCH(K$1,products!$A$1:$G$1,0))</f>
        <v>0.2</v>
      </c>
      <c r="L883" s="7">
        <f>INDEX(products!$A$1:$G$49,MATCH(orders!$D883,products!$A$1:$A$49,0),MATCH(L$1,products!$A$1:$G$1,0))</f>
        <v>3.8849999999999998</v>
      </c>
      <c r="M883" s="7">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ID]],customers!$A$1:$A$1001,customers!$I$1:$I$1001,,0)</f>
        <v>Yes</v>
      </c>
    </row>
    <row r="884" spans="1:16" x14ac:dyDescent="0.35">
      <c r="A884" s="2" t="s">
        <v>5477</v>
      </c>
      <c r="B884" s="5">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6">
        <f>INDEX(products!$A$1:$G$49,MATCH(orders!$D884,products!$A$1:$A$49,0),MATCH(K$1,products!$A$1:$G$1,0))</f>
        <v>2.5</v>
      </c>
      <c r="L884" s="7">
        <f>INDEX(products!$A$1:$G$49,MATCH(orders!$D884,products!$A$1:$A$49,0),MATCH(L$1,products!$A$1:$G$1,0))</f>
        <v>22.884999999999998</v>
      </c>
      <c r="M884" s="7">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ID]],customers!$A$1:$A$1001,customers!$I$1:$I$1001,,0)</f>
        <v>Yes</v>
      </c>
    </row>
    <row r="885" spans="1:16" x14ac:dyDescent="0.35">
      <c r="A885" s="2" t="s">
        <v>5483</v>
      </c>
      <c r="B885" s="5">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6">
        <f>INDEX(products!$A$1:$G$49,MATCH(orders!$D885,products!$A$1:$A$49,0),MATCH(K$1,products!$A$1:$G$1,0))</f>
        <v>2.5</v>
      </c>
      <c r="L885" s="7">
        <f>INDEX(products!$A$1:$G$49,MATCH(orders!$D885,products!$A$1:$A$49,0),MATCH(L$1,products!$A$1:$G$1,0))</f>
        <v>25.874999999999996</v>
      </c>
      <c r="M885" s="7">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ID]],customers!$A$1:$A$1001,customers!$I$1:$I$1001,,0)</f>
        <v>Yes</v>
      </c>
    </row>
    <row r="886" spans="1:16" x14ac:dyDescent="0.35">
      <c r="A886" s="2" t="s">
        <v>5489</v>
      </c>
      <c r="B886" s="5">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6">
        <f>INDEX(products!$A$1:$G$49,MATCH(orders!$D886,products!$A$1:$A$49,0),MATCH(K$1,products!$A$1:$G$1,0))</f>
        <v>0.5</v>
      </c>
      <c r="L886" s="7">
        <f>INDEX(products!$A$1:$G$49,MATCH(orders!$D886,products!$A$1:$A$49,0),MATCH(L$1,products!$A$1:$G$1,0))</f>
        <v>5.3699999999999992</v>
      </c>
      <c r="M886" s="7">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ID]],customers!$A$1:$A$1001,customers!$I$1:$I$1001,,0)</f>
        <v>Yes</v>
      </c>
    </row>
    <row r="887" spans="1:16" x14ac:dyDescent="0.35">
      <c r="A887" s="2" t="s">
        <v>5495</v>
      </c>
      <c r="B887" s="5">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6">
        <f>INDEX(products!$A$1:$G$49,MATCH(orders!$D887,products!$A$1:$A$49,0),MATCH(K$1,products!$A$1:$G$1,0))</f>
        <v>2.5</v>
      </c>
      <c r="L887" s="7">
        <f>INDEX(products!$A$1:$G$49,MATCH(orders!$D887,products!$A$1:$A$49,0),MATCH(L$1,products!$A$1:$G$1,0))</f>
        <v>20.584999999999997</v>
      </c>
      <c r="M887" s="7">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ID]],customers!$A$1:$A$1001,customers!$I$1:$I$1001,,0)</f>
        <v>No</v>
      </c>
    </row>
    <row r="888" spans="1:16" x14ac:dyDescent="0.35">
      <c r="A888" s="2" t="s">
        <v>5501</v>
      </c>
      <c r="B888" s="5">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6">
        <f>INDEX(products!$A$1:$G$49,MATCH(orders!$D888,products!$A$1:$A$49,0),MATCH(K$1,products!$A$1:$G$1,0))</f>
        <v>0.5</v>
      </c>
      <c r="L888" s="7">
        <f>INDEX(products!$A$1:$G$49,MATCH(orders!$D888,products!$A$1:$A$49,0),MATCH(L$1,products!$A$1:$G$1,0))</f>
        <v>8.73</v>
      </c>
      <c r="M888" s="7">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ID]],customers!$A$1:$A$1001,customers!$I$1:$I$1001,,0)</f>
        <v>No</v>
      </c>
    </row>
    <row r="889" spans="1:16" x14ac:dyDescent="0.35">
      <c r="A889" s="2" t="s">
        <v>5507</v>
      </c>
      <c r="B889" s="5">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6">
        <f>INDEX(products!$A$1:$G$49,MATCH(orders!$D889,products!$A$1:$A$49,0),MATCH(K$1,products!$A$1:$G$1,0))</f>
        <v>0.2</v>
      </c>
      <c r="L889" s="7">
        <f>INDEX(products!$A$1:$G$49,MATCH(orders!$D889,products!$A$1:$A$49,0),MATCH(L$1,products!$A$1:$G$1,0))</f>
        <v>4.4550000000000001</v>
      </c>
      <c r="M889" s="7">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ID]],customers!$A$1:$A$1001,customers!$I$1:$I$1001,,0)</f>
        <v>No</v>
      </c>
    </row>
    <row r="890" spans="1:16" x14ac:dyDescent="0.35">
      <c r="A890" s="2" t="s">
        <v>5513</v>
      </c>
      <c r="B890" s="5">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6">
        <f>INDEX(products!$A$1:$G$49,MATCH(orders!$D890,products!$A$1:$A$49,0),MATCH(K$1,products!$A$1:$G$1,0))</f>
        <v>0.2</v>
      </c>
      <c r="L890" s="7">
        <f>INDEX(products!$A$1:$G$49,MATCH(orders!$D890,products!$A$1:$A$49,0),MATCH(L$1,products!$A$1:$G$1,0))</f>
        <v>3.8849999999999998</v>
      </c>
      <c r="M890" s="7">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ID]],customers!$A$1:$A$1001,customers!$I$1:$I$1001,,0)</f>
        <v>Yes</v>
      </c>
    </row>
    <row r="891" spans="1:16" x14ac:dyDescent="0.35">
      <c r="A891" s="2" t="s">
        <v>5519</v>
      </c>
      <c r="B891" s="5">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6">
        <f>INDEX(products!$A$1:$G$49,MATCH(orders!$D891,products!$A$1:$A$49,0),MATCH(K$1,products!$A$1:$G$1,0))</f>
        <v>0.2</v>
      </c>
      <c r="L891" s="7">
        <f>INDEX(products!$A$1:$G$49,MATCH(orders!$D891,products!$A$1:$A$49,0),MATCH(L$1,products!$A$1:$G$1,0))</f>
        <v>2.6849999999999996</v>
      </c>
      <c r="M891" s="7">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ID]],customers!$A$1:$A$1001,customers!$I$1:$I$1001,,0)</f>
        <v>Yes</v>
      </c>
    </row>
    <row r="892" spans="1:16" x14ac:dyDescent="0.35">
      <c r="A892" s="2" t="s">
        <v>5525</v>
      </c>
      <c r="B892" s="5">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6">
        <f>INDEX(products!$A$1:$G$49,MATCH(orders!$D892,products!$A$1:$A$49,0),MATCH(K$1,products!$A$1:$G$1,0))</f>
        <v>2.5</v>
      </c>
      <c r="L892" s="7">
        <f>INDEX(products!$A$1:$G$49,MATCH(orders!$D892,products!$A$1:$A$49,0),MATCH(L$1,products!$A$1:$G$1,0))</f>
        <v>20.584999999999997</v>
      </c>
      <c r="M892" s="7">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ID]],customers!$A$1:$A$1001,customers!$I$1:$I$1001,,0)</f>
        <v>Yes</v>
      </c>
    </row>
    <row r="893" spans="1:16" x14ac:dyDescent="0.35">
      <c r="A893" s="2" t="s">
        <v>5531</v>
      </c>
      <c r="B893" s="5">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6">
        <f>INDEX(products!$A$1:$G$49,MATCH(orders!$D893,products!$A$1:$A$49,0),MATCH(K$1,products!$A$1:$G$1,0))</f>
        <v>2.5</v>
      </c>
      <c r="L893" s="7">
        <f>INDEX(products!$A$1:$G$49,MATCH(orders!$D893,products!$A$1:$A$49,0),MATCH(L$1,products!$A$1:$G$1,0))</f>
        <v>22.884999999999998</v>
      </c>
      <c r="M893" s="7">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ID]],customers!$A$1:$A$1001,customers!$I$1:$I$1001,,0)</f>
        <v>Yes</v>
      </c>
    </row>
    <row r="894" spans="1:16" x14ac:dyDescent="0.35">
      <c r="A894" s="2" t="s">
        <v>5537</v>
      </c>
      <c r="B894" s="5">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6">
        <f>INDEX(products!$A$1:$G$49,MATCH(orders!$D894,products!$A$1:$A$49,0),MATCH(K$1,products!$A$1:$G$1,0))</f>
        <v>0.2</v>
      </c>
      <c r="L894" s="7">
        <f>INDEX(products!$A$1:$G$49,MATCH(orders!$D894,products!$A$1:$A$49,0),MATCH(L$1,products!$A$1:$G$1,0))</f>
        <v>4.125</v>
      </c>
      <c r="M894" s="7">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ID]],customers!$A$1:$A$1001,customers!$I$1:$I$1001,,0)</f>
        <v>No</v>
      </c>
    </row>
    <row r="895" spans="1:16" x14ac:dyDescent="0.35">
      <c r="A895" s="2" t="s">
        <v>5543</v>
      </c>
      <c r="B895" s="5">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6">
        <f>INDEX(products!$A$1:$G$49,MATCH(orders!$D895,products!$A$1:$A$49,0),MATCH(K$1,products!$A$1:$G$1,0))</f>
        <v>0.5</v>
      </c>
      <c r="L895" s="7">
        <f>INDEX(products!$A$1:$G$49,MATCH(orders!$D895,products!$A$1:$A$49,0),MATCH(L$1,products!$A$1:$G$1,0))</f>
        <v>9.51</v>
      </c>
      <c r="M895" s="7">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ID]],customers!$A$1:$A$1001,customers!$I$1:$I$1001,,0)</f>
        <v>Yes</v>
      </c>
    </row>
    <row r="896" spans="1:16" x14ac:dyDescent="0.35">
      <c r="A896" s="2" t="s">
        <v>5548</v>
      </c>
      <c r="B896" s="5">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6">
        <f>INDEX(products!$A$1:$G$49,MATCH(orders!$D896,products!$A$1:$A$49,0),MATCH(K$1,products!$A$1:$G$1,0))</f>
        <v>2.5</v>
      </c>
      <c r="L896" s="7">
        <f>INDEX(products!$A$1:$G$49,MATCH(orders!$D896,products!$A$1:$A$49,0),MATCH(L$1,products!$A$1:$G$1,0))</f>
        <v>20.584999999999997</v>
      </c>
      <c r="M896" s="7">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ID]],customers!$A$1:$A$1001,customers!$I$1:$I$1001,,0)</f>
        <v>Yes</v>
      </c>
    </row>
    <row r="897" spans="1:16" x14ac:dyDescent="0.35">
      <c r="A897" s="2" t="s">
        <v>5553</v>
      </c>
      <c r="B897" s="5">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6">
        <f>INDEX(products!$A$1:$G$49,MATCH(orders!$D897,products!$A$1:$A$49,0),MATCH(K$1,products!$A$1:$G$1,0))</f>
        <v>2.5</v>
      </c>
      <c r="L897" s="7">
        <f>INDEX(products!$A$1:$G$49,MATCH(orders!$D897,products!$A$1:$A$49,0),MATCH(L$1,products!$A$1:$G$1,0))</f>
        <v>31.624999999999996</v>
      </c>
      <c r="M897" s="7">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ID]],customers!$A$1:$A$1001,customers!$I$1:$I$1001,,0)</f>
        <v>No</v>
      </c>
    </row>
    <row r="898" spans="1:16" x14ac:dyDescent="0.35">
      <c r="A898" s="2" t="s">
        <v>5558</v>
      </c>
      <c r="B898" s="5">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6">
        <f>INDEX(products!$A$1:$G$49,MATCH(orders!$D898,products!$A$1:$A$49,0),MATCH(K$1,products!$A$1:$G$1,0))</f>
        <v>0.5</v>
      </c>
      <c r="L898" s="7">
        <f>INDEX(products!$A$1:$G$49,MATCH(orders!$D898,products!$A$1:$A$49,0),MATCH(L$1,products!$A$1:$G$1,0))</f>
        <v>5.3699999999999992</v>
      </c>
      <c r="M898" s="7">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ID]],customers!$A$1:$A$1001,customers!$I$1:$I$1001,,0)</f>
        <v>Yes</v>
      </c>
    </row>
    <row r="899" spans="1:16" x14ac:dyDescent="0.35">
      <c r="A899" s="2" t="s">
        <v>5564</v>
      </c>
      <c r="B899" s="5">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6">
        <f>INDEX(products!$A$1:$G$49,MATCH(orders!$D899,products!$A$1:$A$49,0),MATCH(K$1,products!$A$1:$G$1,0))</f>
        <v>1</v>
      </c>
      <c r="L899" s="7">
        <f>INDEX(products!$A$1:$G$49,MATCH(orders!$D899,products!$A$1:$A$49,0),MATCH(L$1,products!$A$1:$G$1,0))</f>
        <v>12.15</v>
      </c>
      <c r="M899" s="7">
        <f t="shared" ref="M899:M962" si="14">PRODUCT(L899,E899)</f>
        <v>24.3</v>
      </c>
      <c r="N899" t="str" cm="1">
        <f t="array" ref="N899">_xlfn.IFS(I899="Rob","Robusta",I899="Exc","Excelsa",I899="Ara","Arabica",I899="Lib","Liberica")</f>
        <v>Excelsa</v>
      </c>
      <c r="O899" t="str" cm="1">
        <f t="array" ref="O899">_xlfn.IFS(J899="M","Medium",J899="L","Light",J899="D","Dark")</f>
        <v>Dark</v>
      </c>
      <c r="P899" t="str">
        <f>_xlfn.XLOOKUP(Orders[[#This Row],[Customer ID]],customers!$A$1:$A$1001,customers!$I$1:$I$1001,,0)</f>
        <v>No</v>
      </c>
    </row>
    <row r="900" spans="1:16" x14ac:dyDescent="0.35">
      <c r="A900" s="2" t="s">
        <v>5570</v>
      </c>
      <c r="B900" s="5">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6">
        <f>INDEX(products!$A$1:$G$49,MATCH(orders!$D900,products!$A$1:$A$49,0),MATCH(K$1,products!$A$1:$G$1,0))</f>
        <v>0.5</v>
      </c>
      <c r="L900" s="7">
        <f>INDEX(products!$A$1:$G$49,MATCH(orders!$D900,products!$A$1:$A$49,0),MATCH(L$1,products!$A$1:$G$1,0))</f>
        <v>7.169999999999999</v>
      </c>
      <c r="M900" s="7">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ID]],customers!$A$1:$A$1001,customers!$I$1:$I$1001,,0)</f>
        <v>No</v>
      </c>
    </row>
    <row r="901" spans="1:16" x14ac:dyDescent="0.35">
      <c r="A901" s="2" t="s">
        <v>5575</v>
      </c>
      <c r="B901" s="5">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6">
        <f>INDEX(products!$A$1:$G$49,MATCH(orders!$D901,products!$A$1:$A$49,0),MATCH(K$1,products!$A$1:$G$1,0))</f>
        <v>1</v>
      </c>
      <c r="L901" s="7">
        <f>INDEX(products!$A$1:$G$49,MATCH(orders!$D901,products!$A$1:$A$49,0),MATCH(L$1,products!$A$1:$G$1,0))</f>
        <v>14.55</v>
      </c>
      <c r="M901" s="7">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ID]],customers!$A$1:$A$1001,customers!$I$1:$I$1001,,0)</f>
        <v>No</v>
      </c>
    </row>
    <row r="902" spans="1:16" x14ac:dyDescent="0.35">
      <c r="A902" s="2" t="s">
        <v>5580</v>
      </c>
      <c r="B902" s="5">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6">
        <f>INDEX(products!$A$1:$G$49,MATCH(orders!$D902,products!$A$1:$A$49,0),MATCH(K$1,products!$A$1:$G$1,0))</f>
        <v>1</v>
      </c>
      <c r="L902" s="7">
        <f>INDEX(products!$A$1:$G$49,MATCH(orders!$D902,products!$A$1:$A$49,0),MATCH(L$1,products!$A$1:$G$1,0))</f>
        <v>15.85</v>
      </c>
      <c r="M902" s="7">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ID]],customers!$A$1:$A$1001,customers!$I$1:$I$1001,,0)</f>
        <v>No</v>
      </c>
    </row>
    <row r="903" spans="1:16" x14ac:dyDescent="0.35">
      <c r="A903" s="2" t="s">
        <v>5585</v>
      </c>
      <c r="B903" s="5">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6">
        <f>INDEX(products!$A$1:$G$49,MATCH(orders!$D903,products!$A$1:$A$49,0),MATCH(K$1,products!$A$1:$G$1,0))</f>
        <v>0.2</v>
      </c>
      <c r="L903" s="7">
        <f>INDEX(products!$A$1:$G$49,MATCH(orders!$D903,products!$A$1:$A$49,0),MATCH(L$1,products!$A$1:$G$1,0))</f>
        <v>3.5849999999999995</v>
      </c>
      <c r="M903" s="7">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ID]],customers!$A$1:$A$1001,customers!$I$1:$I$1001,,0)</f>
        <v>Yes</v>
      </c>
    </row>
    <row r="904" spans="1:16" x14ac:dyDescent="0.35">
      <c r="A904" s="2" t="s">
        <v>5591</v>
      </c>
      <c r="B904" s="5">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6">
        <f>INDEX(products!$A$1:$G$49,MATCH(orders!$D904,products!$A$1:$A$49,0),MATCH(K$1,products!$A$1:$G$1,0))</f>
        <v>2.5</v>
      </c>
      <c r="L904" s="7">
        <f>INDEX(products!$A$1:$G$49,MATCH(orders!$D904,products!$A$1:$A$49,0),MATCH(L$1,products!$A$1:$G$1,0))</f>
        <v>31.624999999999996</v>
      </c>
      <c r="M904" s="7">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ID]],customers!$A$1:$A$1001,customers!$I$1:$I$1001,,0)</f>
        <v>No</v>
      </c>
    </row>
    <row r="905" spans="1:16" x14ac:dyDescent="0.35">
      <c r="A905" s="2" t="s">
        <v>5597</v>
      </c>
      <c r="B905" s="5">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6">
        <f>INDEX(products!$A$1:$G$49,MATCH(orders!$D905,products!$A$1:$A$49,0),MATCH(K$1,products!$A$1:$G$1,0))</f>
        <v>0.5</v>
      </c>
      <c r="L905" s="7">
        <f>INDEX(products!$A$1:$G$49,MATCH(orders!$D905,products!$A$1:$A$49,0),MATCH(L$1,products!$A$1:$G$1,0))</f>
        <v>8.73</v>
      </c>
      <c r="M905" s="7">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ID]],customers!$A$1:$A$1001,customers!$I$1:$I$1001,,0)</f>
        <v>No</v>
      </c>
    </row>
    <row r="906" spans="1:16" x14ac:dyDescent="0.35">
      <c r="A906" s="2" t="s">
        <v>5603</v>
      </c>
      <c r="B906" s="5">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6">
        <f>INDEX(products!$A$1:$G$49,MATCH(orders!$D906,products!$A$1:$A$49,0),MATCH(K$1,products!$A$1:$G$1,0))</f>
        <v>2.5</v>
      </c>
      <c r="L906" s="7">
        <f>INDEX(products!$A$1:$G$49,MATCH(orders!$D906,products!$A$1:$A$49,0),MATCH(L$1,products!$A$1:$G$1,0))</f>
        <v>29.784999999999997</v>
      </c>
      <c r="M906" s="7">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ID]],customers!$A$1:$A$1001,customers!$I$1:$I$1001,,0)</f>
        <v>No</v>
      </c>
    </row>
    <row r="907" spans="1:16" x14ac:dyDescent="0.35">
      <c r="A907" s="2" t="s">
        <v>5609</v>
      </c>
      <c r="B907" s="5">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6">
        <f>INDEX(products!$A$1:$G$49,MATCH(orders!$D907,products!$A$1:$A$49,0),MATCH(K$1,products!$A$1:$G$1,0))</f>
        <v>0.5</v>
      </c>
      <c r="L907" s="7">
        <f>INDEX(products!$A$1:$G$49,MATCH(orders!$D907,products!$A$1:$A$49,0),MATCH(L$1,products!$A$1:$G$1,0))</f>
        <v>6.75</v>
      </c>
      <c r="M907" s="7">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ID]],customers!$A$1:$A$1001,customers!$I$1:$I$1001,,0)</f>
        <v>Yes</v>
      </c>
    </row>
    <row r="908" spans="1:16" x14ac:dyDescent="0.35">
      <c r="A908" s="2" t="s">
        <v>5614</v>
      </c>
      <c r="B908" s="5">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6">
        <f>INDEX(products!$A$1:$G$49,MATCH(orders!$D908,products!$A$1:$A$49,0),MATCH(K$1,products!$A$1:$G$1,0))</f>
        <v>0.5</v>
      </c>
      <c r="L908" s="7">
        <f>INDEX(products!$A$1:$G$49,MATCH(orders!$D908,products!$A$1:$A$49,0),MATCH(L$1,products!$A$1:$G$1,0))</f>
        <v>6.75</v>
      </c>
      <c r="M908" s="7">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ID]],customers!$A$1:$A$1001,customers!$I$1:$I$1001,,0)</f>
        <v>Yes</v>
      </c>
    </row>
    <row r="909" spans="1:16" x14ac:dyDescent="0.35">
      <c r="A909" s="2" t="s">
        <v>5620</v>
      </c>
      <c r="B909" s="5">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6">
        <f>INDEX(products!$A$1:$G$49,MATCH(orders!$D909,products!$A$1:$A$49,0),MATCH(K$1,products!$A$1:$G$1,0))</f>
        <v>1</v>
      </c>
      <c r="L909" s="7">
        <f>INDEX(products!$A$1:$G$49,MATCH(orders!$D909,products!$A$1:$A$49,0),MATCH(L$1,products!$A$1:$G$1,0))</f>
        <v>12.95</v>
      </c>
      <c r="M909" s="7">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ID]],customers!$A$1:$A$1001,customers!$I$1:$I$1001,,0)</f>
        <v>No</v>
      </c>
    </row>
    <row r="910" spans="1:16" x14ac:dyDescent="0.35">
      <c r="A910" s="2" t="s">
        <v>5626</v>
      </c>
      <c r="B910" s="5">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6">
        <f>INDEX(products!$A$1:$G$49,MATCH(orders!$D910,products!$A$1:$A$49,0),MATCH(K$1,products!$A$1:$G$1,0))</f>
        <v>1</v>
      </c>
      <c r="L910" s="7">
        <f>INDEX(products!$A$1:$G$49,MATCH(orders!$D910,products!$A$1:$A$49,0),MATCH(L$1,products!$A$1:$G$1,0))</f>
        <v>11.95</v>
      </c>
      <c r="M910" s="7">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ID]],customers!$A$1:$A$1001,customers!$I$1:$I$1001,,0)</f>
        <v>No</v>
      </c>
    </row>
    <row r="911" spans="1:16" x14ac:dyDescent="0.35">
      <c r="A911" s="2" t="s">
        <v>5632</v>
      </c>
      <c r="B911" s="5">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6">
        <f>INDEX(products!$A$1:$G$49,MATCH(orders!$D911,products!$A$1:$A$49,0),MATCH(K$1,products!$A$1:$G$1,0))</f>
        <v>0.2</v>
      </c>
      <c r="L911" s="7">
        <f>INDEX(products!$A$1:$G$49,MATCH(orders!$D911,products!$A$1:$A$49,0),MATCH(L$1,products!$A$1:$G$1,0))</f>
        <v>3.5849999999999995</v>
      </c>
      <c r="M911" s="7">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ID]],customers!$A$1:$A$1001,customers!$I$1:$I$1001,,0)</f>
        <v>No</v>
      </c>
    </row>
    <row r="912" spans="1:16" x14ac:dyDescent="0.35">
      <c r="A912" s="2" t="s">
        <v>5637</v>
      </c>
      <c r="B912" s="5">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6">
        <f>INDEX(products!$A$1:$G$49,MATCH(orders!$D912,products!$A$1:$A$49,0),MATCH(K$1,products!$A$1:$G$1,0))</f>
        <v>2.5</v>
      </c>
      <c r="L912" s="7">
        <f>INDEX(products!$A$1:$G$49,MATCH(orders!$D912,products!$A$1:$A$49,0),MATCH(L$1,products!$A$1:$G$1,0))</f>
        <v>22.884999999999998</v>
      </c>
      <c r="M912" s="7">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ID]],customers!$A$1:$A$1001,customers!$I$1:$I$1001,,0)</f>
        <v>No</v>
      </c>
    </row>
    <row r="913" spans="1:16" x14ac:dyDescent="0.35">
      <c r="A913" s="2" t="s">
        <v>5643</v>
      </c>
      <c r="B913" s="5">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6">
        <f>INDEX(products!$A$1:$G$49,MATCH(orders!$D913,products!$A$1:$A$49,0),MATCH(K$1,products!$A$1:$G$1,0))</f>
        <v>1</v>
      </c>
      <c r="L913" s="7">
        <f>INDEX(products!$A$1:$G$49,MATCH(orders!$D913,products!$A$1:$A$49,0),MATCH(L$1,products!$A$1:$G$1,0))</f>
        <v>11.25</v>
      </c>
      <c r="M913" s="7">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ID]],customers!$A$1:$A$1001,customers!$I$1:$I$1001,,0)</f>
        <v>Yes</v>
      </c>
    </row>
    <row r="914" spans="1:16" x14ac:dyDescent="0.35">
      <c r="A914" s="2" t="s">
        <v>5649</v>
      </c>
      <c r="B914" s="5">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6">
        <f>INDEX(products!$A$1:$G$49,MATCH(orders!$D914,products!$A$1:$A$49,0),MATCH(K$1,products!$A$1:$G$1,0))</f>
        <v>2.5</v>
      </c>
      <c r="L914" s="7">
        <f>INDEX(products!$A$1:$G$49,MATCH(orders!$D914,products!$A$1:$A$49,0),MATCH(L$1,products!$A$1:$G$1,0))</f>
        <v>22.884999999999998</v>
      </c>
      <c r="M914" s="7">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ID]],customers!$A$1:$A$1001,customers!$I$1:$I$1001,,0)</f>
        <v>Yes</v>
      </c>
    </row>
    <row r="915" spans="1:16" x14ac:dyDescent="0.35">
      <c r="A915" s="2" t="s">
        <v>5654</v>
      </c>
      <c r="B915" s="5">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6">
        <f>INDEX(products!$A$1:$G$49,MATCH(orders!$D915,products!$A$1:$A$49,0),MATCH(K$1,products!$A$1:$G$1,0))</f>
        <v>0.5</v>
      </c>
      <c r="L915" s="7">
        <f>INDEX(products!$A$1:$G$49,MATCH(orders!$D915,products!$A$1:$A$49,0),MATCH(L$1,products!$A$1:$G$1,0))</f>
        <v>6.75</v>
      </c>
      <c r="M915" s="7">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ID]],customers!$A$1:$A$1001,customers!$I$1:$I$1001,,0)</f>
        <v>No</v>
      </c>
    </row>
    <row r="916" spans="1:16" x14ac:dyDescent="0.35">
      <c r="A916" s="2" t="s">
        <v>5660</v>
      </c>
      <c r="B916" s="5">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6">
        <f>INDEX(products!$A$1:$G$49,MATCH(orders!$D916,products!$A$1:$A$49,0),MATCH(K$1,products!$A$1:$G$1,0))</f>
        <v>1</v>
      </c>
      <c r="L916" s="7">
        <f>INDEX(products!$A$1:$G$49,MATCH(orders!$D916,products!$A$1:$A$49,0),MATCH(L$1,products!$A$1:$G$1,0))</f>
        <v>11.25</v>
      </c>
      <c r="M916" s="7">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ID]],customers!$A$1:$A$1001,customers!$I$1:$I$1001,,0)</f>
        <v>No</v>
      </c>
    </row>
    <row r="917" spans="1:16" x14ac:dyDescent="0.35">
      <c r="A917" s="2" t="s">
        <v>5666</v>
      </c>
      <c r="B917" s="5">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6">
        <f>INDEX(products!$A$1:$G$49,MATCH(orders!$D917,products!$A$1:$A$49,0),MATCH(K$1,products!$A$1:$G$1,0))</f>
        <v>2.5</v>
      </c>
      <c r="L917" s="7">
        <f>INDEX(products!$A$1:$G$49,MATCH(orders!$D917,products!$A$1:$A$49,0),MATCH(L$1,products!$A$1:$G$1,0))</f>
        <v>27.945</v>
      </c>
      <c r="M917" s="7">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ID]],customers!$A$1:$A$1001,customers!$I$1:$I$1001,,0)</f>
        <v>Yes</v>
      </c>
    </row>
    <row r="918" spans="1:16" x14ac:dyDescent="0.35">
      <c r="A918" s="2" t="s">
        <v>5672</v>
      </c>
      <c r="B918" s="5">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6">
        <f>INDEX(products!$A$1:$G$49,MATCH(orders!$D918,products!$A$1:$A$49,0),MATCH(K$1,products!$A$1:$G$1,0))</f>
        <v>0.2</v>
      </c>
      <c r="L918" s="7">
        <f>INDEX(products!$A$1:$G$49,MATCH(orders!$D918,products!$A$1:$A$49,0),MATCH(L$1,products!$A$1:$G$1,0))</f>
        <v>3.645</v>
      </c>
      <c r="M918" s="7">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ID]],customers!$A$1:$A$1001,customers!$I$1:$I$1001,,0)</f>
        <v>Yes</v>
      </c>
    </row>
    <row r="919" spans="1:16" x14ac:dyDescent="0.35">
      <c r="A919" s="2" t="s">
        <v>5676</v>
      </c>
      <c r="B919" s="5">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6">
        <f>INDEX(products!$A$1:$G$49,MATCH(orders!$D919,products!$A$1:$A$49,0),MATCH(K$1,products!$A$1:$G$1,0))</f>
        <v>0.5</v>
      </c>
      <c r="L919" s="7">
        <f>INDEX(products!$A$1:$G$49,MATCH(orders!$D919,products!$A$1:$A$49,0),MATCH(L$1,products!$A$1:$G$1,0))</f>
        <v>6.75</v>
      </c>
      <c r="M919" s="7">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ID]],customers!$A$1:$A$1001,customers!$I$1:$I$1001,,0)</f>
        <v>No</v>
      </c>
    </row>
    <row r="920" spans="1:16" x14ac:dyDescent="0.35">
      <c r="A920" s="2" t="s">
        <v>5676</v>
      </c>
      <c r="B920" s="5">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6">
        <f>INDEX(products!$A$1:$G$49,MATCH(orders!$D920,products!$A$1:$A$49,0),MATCH(K$1,products!$A$1:$G$1,0))</f>
        <v>0.5</v>
      </c>
      <c r="L920" s="7">
        <f>INDEX(products!$A$1:$G$49,MATCH(orders!$D920,products!$A$1:$A$49,0),MATCH(L$1,products!$A$1:$G$1,0))</f>
        <v>7.29</v>
      </c>
      <c r="M920" s="7">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ID]],customers!$A$1:$A$1001,customers!$I$1:$I$1001,,0)</f>
        <v>No</v>
      </c>
    </row>
    <row r="921" spans="1:16" x14ac:dyDescent="0.35">
      <c r="A921" s="2" t="s">
        <v>5687</v>
      </c>
      <c r="B921" s="5">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6">
        <f>INDEX(products!$A$1:$G$49,MATCH(orders!$D921,products!$A$1:$A$49,0),MATCH(K$1,products!$A$1:$G$1,0))</f>
        <v>0.2</v>
      </c>
      <c r="L921" s="7">
        <f>INDEX(products!$A$1:$G$49,MATCH(orders!$D921,products!$A$1:$A$49,0),MATCH(L$1,products!$A$1:$G$1,0))</f>
        <v>2.6849999999999996</v>
      </c>
      <c r="M921" s="7">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ID]],customers!$A$1:$A$1001,customers!$I$1:$I$1001,,0)</f>
        <v>Yes</v>
      </c>
    </row>
    <row r="922" spans="1:16" x14ac:dyDescent="0.35">
      <c r="A922" s="2" t="s">
        <v>5693</v>
      </c>
      <c r="B922" s="5">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6">
        <f>INDEX(products!$A$1:$G$49,MATCH(orders!$D922,products!$A$1:$A$49,0),MATCH(K$1,products!$A$1:$G$1,0))</f>
        <v>2.5</v>
      </c>
      <c r="L922" s="7">
        <f>INDEX(products!$A$1:$G$49,MATCH(orders!$D922,products!$A$1:$A$49,0),MATCH(L$1,products!$A$1:$G$1,0))</f>
        <v>20.584999999999997</v>
      </c>
      <c r="M922" s="7">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ID]],customers!$A$1:$A$1001,customers!$I$1:$I$1001,,0)</f>
        <v>No</v>
      </c>
    </row>
    <row r="923" spans="1:16" x14ac:dyDescent="0.35">
      <c r="A923" s="2" t="s">
        <v>5699</v>
      </c>
      <c r="B923" s="5">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6">
        <f>INDEX(products!$A$1:$G$49,MATCH(orders!$D923,products!$A$1:$A$49,0),MATCH(K$1,products!$A$1:$G$1,0))</f>
        <v>0.2</v>
      </c>
      <c r="L923" s="7">
        <f>INDEX(products!$A$1:$G$49,MATCH(orders!$D923,products!$A$1:$A$49,0),MATCH(L$1,products!$A$1:$G$1,0))</f>
        <v>3.8849999999999998</v>
      </c>
      <c r="M923" s="7">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ID]],customers!$A$1:$A$1001,customers!$I$1:$I$1001,,0)</f>
        <v>No</v>
      </c>
    </row>
    <row r="924" spans="1:16" x14ac:dyDescent="0.35">
      <c r="A924" s="2" t="s">
        <v>5705</v>
      </c>
      <c r="B924" s="5">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6">
        <f>INDEX(products!$A$1:$G$49,MATCH(orders!$D924,products!$A$1:$A$49,0),MATCH(K$1,products!$A$1:$G$1,0))</f>
        <v>1</v>
      </c>
      <c r="L924" s="7">
        <f>INDEX(products!$A$1:$G$49,MATCH(orders!$D924,products!$A$1:$A$49,0),MATCH(L$1,products!$A$1:$G$1,0))</f>
        <v>11.25</v>
      </c>
      <c r="M924" s="7">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ID]],customers!$A$1:$A$1001,customers!$I$1:$I$1001,,0)</f>
        <v>Yes</v>
      </c>
    </row>
    <row r="925" spans="1:16" x14ac:dyDescent="0.35">
      <c r="A925" s="2" t="s">
        <v>5709</v>
      </c>
      <c r="B925" s="5">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6">
        <f>INDEX(products!$A$1:$G$49,MATCH(orders!$D925,products!$A$1:$A$49,0),MATCH(K$1,products!$A$1:$G$1,0))</f>
        <v>2.5</v>
      </c>
      <c r="L925" s="7">
        <f>INDEX(products!$A$1:$G$49,MATCH(orders!$D925,products!$A$1:$A$49,0),MATCH(L$1,products!$A$1:$G$1,0))</f>
        <v>27.945</v>
      </c>
      <c r="M925" s="7">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ID]],customers!$A$1:$A$1001,customers!$I$1:$I$1001,,0)</f>
        <v>No</v>
      </c>
    </row>
    <row r="926" spans="1:16" x14ac:dyDescent="0.35">
      <c r="A926" s="2" t="s">
        <v>5715</v>
      </c>
      <c r="B926" s="5">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6">
        <f>INDEX(products!$A$1:$G$49,MATCH(orders!$D926,products!$A$1:$A$49,0),MATCH(K$1,products!$A$1:$G$1,0))</f>
        <v>2.5</v>
      </c>
      <c r="L926" s="7">
        <f>INDEX(products!$A$1:$G$49,MATCH(orders!$D926,products!$A$1:$A$49,0),MATCH(L$1,products!$A$1:$G$1,0))</f>
        <v>29.784999999999997</v>
      </c>
      <c r="M926" s="7">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ID]],customers!$A$1:$A$1001,customers!$I$1:$I$1001,,0)</f>
        <v>No</v>
      </c>
    </row>
    <row r="927" spans="1:16" x14ac:dyDescent="0.35">
      <c r="A927" s="2" t="s">
        <v>5720</v>
      </c>
      <c r="B927" s="5">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6">
        <f>INDEX(products!$A$1:$G$49,MATCH(orders!$D927,products!$A$1:$A$49,0),MATCH(K$1,products!$A$1:$G$1,0))</f>
        <v>0.5</v>
      </c>
      <c r="L927" s="7">
        <f>INDEX(products!$A$1:$G$49,MATCH(orders!$D927,products!$A$1:$A$49,0),MATCH(L$1,products!$A$1:$G$1,0))</f>
        <v>6.75</v>
      </c>
      <c r="M927" s="7">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ID]],customers!$A$1:$A$1001,customers!$I$1:$I$1001,,0)</f>
        <v>No</v>
      </c>
    </row>
    <row r="928" spans="1:16" x14ac:dyDescent="0.35">
      <c r="A928" s="2" t="s">
        <v>5725</v>
      </c>
      <c r="B928" s="5">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6">
        <f>INDEX(products!$A$1:$G$49,MATCH(orders!$D928,products!$A$1:$A$49,0),MATCH(K$1,products!$A$1:$G$1,0))</f>
        <v>0.5</v>
      </c>
      <c r="L928" s="7">
        <f>INDEX(products!$A$1:$G$49,MATCH(orders!$D928,products!$A$1:$A$49,0),MATCH(L$1,products!$A$1:$G$1,0))</f>
        <v>6.75</v>
      </c>
      <c r="M928" s="7">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ID]],customers!$A$1:$A$1001,customers!$I$1:$I$1001,,0)</f>
        <v>Yes</v>
      </c>
    </row>
    <row r="929" spans="1:16" x14ac:dyDescent="0.35">
      <c r="A929" s="2" t="s">
        <v>5731</v>
      </c>
      <c r="B929" s="5">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6">
        <f>INDEX(products!$A$1:$G$49,MATCH(orders!$D929,products!$A$1:$A$49,0),MATCH(K$1,products!$A$1:$G$1,0))</f>
        <v>2.5</v>
      </c>
      <c r="L929" s="7">
        <f>INDEX(products!$A$1:$G$49,MATCH(orders!$D929,products!$A$1:$A$49,0),MATCH(L$1,products!$A$1:$G$1,0))</f>
        <v>27.945</v>
      </c>
      <c r="M929" s="7">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ID]],customers!$A$1:$A$1001,customers!$I$1:$I$1001,,0)</f>
        <v>No</v>
      </c>
    </row>
    <row r="930" spans="1:16" x14ac:dyDescent="0.35">
      <c r="A930" s="2" t="s">
        <v>5737</v>
      </c>
      <c r="B930" s="5">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6">
        <f>INDEX(products!$A$1:$G$49,MATCH(orders!$D930,products!$A$1:$A$49,0),MATCH(K$1,products!$A$1:$G$1,0))</f>
        <v>2.5</v>
      </c>
      <c r="L930" s="7">
        <f>INDEX(products!$A$1:$G$49,MATCH(orders!$D930,products!$A$1:$A$49,0),MATCH(L$1,products!$A$1:$G$1,0))</f>
        <v>31.624999999999996</v>
      </c>
      <c r="M930" s="7">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ID]],customers!$A$1:$A$1001,customers!$I$1:$I$1001,,0)</f>
        <v>Yes</v>
      </c>
    </row>
    <row r="931" spans="1:16" x14ac:dyDescent="0.35">
      <c r="A931" s="2" t="s">
        <v>5742</v>
      </c>
      <c r="B931" s="5">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6">
        <f>INDEX(products!$A$1:$G$49,MATCH(orders!$D931,products!$A$1:$A$49,0),MATCH(K$1,products!$A$1:$G$1,0))</f>
        <v>0.2</v>
      </c>
      <c r="L931" s="7">
        <f>INDEX(products!$A$1:$G$49,MATCH(orders!$D931,products!$A$1:$A$49,0),MATCH(L$1,products!$A$1:$G$1,0))</f>
        <v>4.4550000000000001</v>
      </c>
      <c r="M931" s="7">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ID]],customers!$A$1:$A$1001,customers!$I$1:$I$1001,,0)</f>
        <v>Yes</v>
      </c>
    </row>
    <row r="932" spans="1:16" x14ac:dyDescent="0.35">
      <c r="A932" s="2" t="s">
        <v>5748</v>
      </c>
      <c r="B932" s="5">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6">
        <f>INDEX(products!$A$1:$G$49,MATCH(orders!$D932,products!$A$1:$A$49,0),MATCH(K$1,products!$A$1:$G$1,0))</f>
        <v>1</v>
      </c>
      <c r="L932" s="7">
        <f>INDEX(products!$A$1:$G$49,MATCH(orders!$D932,products!$A$1:$A$49,0),MATCH(L$1,products!$A$1:$G$1,0))</f>
        <v>12.15</v>
      </c>
      <c r="M932" s="7">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ID]],customers!$A$1:$A$1001,customers!$I$1:$I$1001,,0)</f>
        <v>Yes</v>
      </c>
    </row>
    <row r="933" spans="1:16" x14ac:dyDescent="0.35">
      <c r="A933" s="2" t="s">
        <v>5753</v>
      </c>
      <c r="B933" s="5">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6">
        <f>INDEX(products!$A$1:$G$49,MATCH(orders!$D933,products!$A$1:$A$49,0),MATCH(K$1,products!$A$1:$G$1,0))</f>
        <v>0.5</v>
      </c>
      <c r="L933" s="7">
        <f>INDEX(products!$A$1:$G$49,MATCH(orders!$D933,products!$A$1:$A$49,0),MATCH(L$1,products!$A$1:$G$1,0))</f>
        <v>5.97</v>
      </c>
      <c r="M933" s="7">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ID]],customers!$A$1:$A$1001,customers!$I$1:$I$1001,,0)</f>
        <v>Yes</v>
      </c>
    </row>
    <row r="934" spans="1:16" x14ac:dyDescent="0.35">
      <c r="A934" s="2" t="s">
        <v>5757</v>
      </c>
      <c r="B934" s="5">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6">
        <f>INDEX(products!$A$1:$G$49,MATCH(orders!$D934,products!$A$1:$A$49,0),MATCH(K$1,products!$A$1:$G$1,0))</f>
        <v>1</v>
      </c>
      <c r="L934" s="7">
        <f>INDEX(products!$A$1:$G$49,MATCH(orders!$D934,products!$A$1:$A$49,0),MATCH(L$1,products!$A$1:$G$1,0))</f>
        <v>13.75</v>
      </c>
      <c r="M934" s="7">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ID]],customers!$A$1:$A$1001,customers!$I$1:$I$1001,,0)</f>
        <v>No</v>
      </c>
    </row>
    <row r="935" spans="1:16" x14ac:dyDescent="0.35">
      <c r="A935" s="2" t="s">
        <v>5763</v>
      </c>
      <c r="B935" s="5">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6">
        <f>INDEX(products!$A$1:$G$49,MATCH(orders!$D935,products!$A$1:$A$49,0),MATCH(K$1,products!$A$1:$G$1,0))</f>
        <v>1</v>
      </c>
      <c r="L935" s="7">
        <f>INDEX(products!$A$1:$G$49,MATCH(orders!$D935,products!$A$1:$A$49,0),MATCH(L$1,products!$A$1:$G$1,0))</f>
        <v>8.9499999999999993</v>
      </c>
      <c r="M935" s="7">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ID]],customers!$A$1:$A$1001,customers!$I$1:$I$1001,,0)</f>
        <v>Yes</v>
      </c>
    </row>
    <row r="936" spans="1:16" x14ac:dyDescent="0.35">
      <c r="A936" s="2" t="s">
        <v>5768</v>
      </c>
      <c r="B936" s="5">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6">
        <f>INDEX(products!$A$1:$G$49,MATCH(orders!$D936,products!$A$1:$A$49,0),MATCH(K$1,products!$A$1:$G$1,0))</f>
        <v>2.5</v>
      </c>
      <c r="L936" s="7">
        <f>INDEX(products!$A$1:$G$49,MATCH(orders!$D936,products!$A$1:$A$49,0),MATCH(L$1,products!$A$1:$G$1,0))</f>
        <v>22.884999999999998</v>
      </c>
      <c r="M936" s="7">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ID]],customers!$A$1:$A$1001,customers!$I$1:$I$1001,,0)</f>
        <v>No</v>
      </c>
    </row>
    <row r="937" spans="1:16" x14ac:dyDescent="0.35">
      <c r="A937" s="2" t="s">
        <v>5774</v>
      </c>
      <c r="B937" s="5">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6">
        <f>INDEX(products!$A$1:$G$49,MATCH(orders!$D937,products!$A$1:$A$49,0),MATCH(K$1,products!$A$1:$G$1,0))</f>
        <v>2.5</v>
      </c>
      <c r="L937" s="7">
        <f>INDEX(products!$A$1:$G$49,MATCH(orders!$D937,products!$A$1:$A$49,0),MATCH(L$1,products!$A$1:$G$1,0))</f>
        <v>25.874999999999996</v>
      </c>
      <c r="M937" s="7">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ID]],customers!$A$1:$A$1001,customers!$I$1:$I$1001,,0)</f>
        <v>Yes</v>
      </c>
    </row>
    <row r="938" spans="1:16" x14ac:dyDescent="0.35">
      <c r="A938" s="2" t="s">
        <v>5780</v>
      </c>
      <c r="B938" s="5">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6">
        <f>INDEX(products!$A$1:$G$49,MATCH(orders!$D938,products!$A$1:$A$49,0),MATCH(K$1,products!$A$1:$G$1,0))</f>
        <v>0.5</v>
      </c>
      <c r="L938" s="7">
        <f>INDEX(products!$A$1:$G$49,MATCH(orders!$D938,products!$A$1:$A$49,0),MATCH(L$1,products!$A$1:$G$1,0))</f>
        <v>7.77</v>
      </c>
      <c r="M938" s="7">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ID]],customers!$A$1:$A$1001,customers!$I$1:$I$1001,,0)</f>
        <v>Yes</v>
      </c>
    </row>
    <row r="939" spans="1:16" x14ac:dyDescent="0.35">
      <c r="A939" s="2" t="s">
        <v>5780</v>
      </c>
      <c r="B939" s="5">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6">
        <f>INDEX(products!$A$1:$G$49,MATCH(orders!$D939,products!$A$1:$A$49,0),MATCH(K$1,products!$A$1:$G$1,0))</f>
        <v>2.5</v>
      </c>
      <c r="L939" s="7">
        <f>INDEX(products!$A$1:$G$49,MATCH(orders!$D939,products!$A$1:$A$49,0),MATCH(L$1,products!$A$1:$G$1,0))</f>
        <v>22.884999999999998</v>
      </c>
      <c r="M939" s="7">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ID]],customers!$A$1:$A$1001,customers!$I$1:$I$1001,,0)</f>
        <v>Yes</v>
      </c>
    </row>
    <row r="940" spans="1:16" x14ac:dyDescent="0.35">
      <c r="A940" s="2" t="s">
        <v>5791</v>
      </c>
      <c r="B940" s="5">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6">
        <f>INDEX(products!$A$1:$G$49,MATCH(orders!$D940,products!$A$1:$A$49,0),MATCH(K$1,products!$A$1:$G$1,0))</f>
        <v>1</v>
      </c>
      <c r="L940" s="7">
        <f>INDEX(products!$A$1:$G$49,MATCH(orders!$D940,products!$A$1:$A$49,0),MATCH(L$1,products!$A$1:$G$1,0))</f>
        <v>14.85</v>
      </c>
      <c r="M940" s="7">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ID]],customers!$A$1:$A$1001,customers!$I$1:$I$1001,,0)</f>
        <v>Yes</v>
      </c>
    </row>
    <row r="941" spans="1:16" x14ac:dyDescent="0.35">
      <c r="A941" s="2" t="s">
        <v>5797</v>
      </c>
      <c r="B941" s="5">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6">
        <f>INDEX(products!$A$1:$G$49,MATCH(orders!$D941,products!$A$1:$A$49,0),MATCH(K$1,products!$A$1:$G$1,0))</f>
        <v>0.2</v>
      </c>
      <c r="L941" s="7">
        <f>INDEX(products!$A$1:$G$49,MATCH(orders!$D941,products!$A$1:$A$49,0),MATCH(L$1,products!$A$1:$G$1,0))</f>
        <v>4.7549999999999999</v>
      </c>
      <c r="M941" s="7">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ID]],customers!$A$1:$A$1001,customers!$I$1:$I$1001,,0)</f>
        <v>No</v>
      </c>
    </row>
    <row r="942" spans="1:16" x14ac:dyDescent="0.35">
      <c r="A942" s="2" t="s">
        <v>5803</v>
      </c>
      <c r="B942" s="5">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6">
        <f>INDEX(products!$A$1:$G$49,MATCH(orders!$D942,products!$A$1:$A$49,0),MATCH(K$1,products!$A$1:$G$1,0))</f>
        <v>0.5</v>
      </c>
      <c r="L942" s="7">
        <f>INDEX(products!$A$1:$G$49,MATCH(orders!$D942,products!$A$1:$A$49,0),MATCH(L$1,products!$A$1:$G$1,0))</f>
        <v>7.169999999999999</v>
      </c>
      <c r="M942" s="7">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ID]],customers!$A$1:$A$1001,customers!$I$1:$I$1001,,0)</f>
        <v>Yes</v>
      </c>
    </row>
    <row r="943" spans="1:16" x14ac:dyDescent="0.35">
      <c r="A943" s="2" t="s">
        <v>5809</v>
      </c>
      <c r="B943" s="5">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6">
        <f>INDEX(products!$A$1:$G$49,MATCH(orders!$D943,products!$A$1:$A$49,0),MATCH(K$1,products!$A$1:$G$1,0))</f>
        <v>0.5</v>
      </c>
      <c r="L943" s="7">
        <f>INDEX(products!$A$1:$G$49,MATCH(orders!$D943,products!$A$1:$A$49,0),MATCH(L$1,products!$A$1:$G$1,0))</f>
        <v>7.77</v>
      </c>
      <c r="M943" s="7">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ID]],customers!$A$1:$A$1001,customers!$I$1:$I$1001,,0)</f>
        <v>Yes</v>
      </c>
    </row>
    <row r="944" spans="1:16" x14ac:dyDescent="0.35">
      <c r="A944" s="2" t="s">
        <v>5816</v>
      </c>
      <c r="B944" s="5">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6">
        <f>INDEX(products!$A$1:$G$49,MATCH(orders!$D944,products!$A$1:$A$49,0),MATCH(K$1,products!$A$1:$G$1,0))</f>
        <v>1</v>
      </c>
      <c r="L944" s="7">
        <f>INDEX(products!$A$1:$G$49,MATCH(orders!$D944,products!$A$1:$A$49,0),MATCH(L$1,products!$A$1:$G$1,0))</f>
        <v>11.95</v>
      </c>
      <c r="M944" s="7">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ID]],customers!$A$1:$A$1001,customers!$I$1:$I$1001,,0)</f>
        <v>No</v>
      </c>
    </row>
    <row r="945" spans="1:16" x14ac:dyDescent="0.35">
      <c r="A945" s="2" t="s">
        <v>5822</v>
      </c>
      <c r="B945" s="5">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6">
        <f>INDEX(products!$A$1:$G$49,MATCH(orders!$D945,products!$A$1:$A$49,0),MATCH(K$1,products!$A$1:$G$1,0))</f>
        <v>0.5</v>
      </c>
      <c r="L945" s="7">
        <f>INDEX(products!$A$1:$G$49,MATCH(orders!$D945,products!$A$1:$A$49,0),MATCH(L$1,products!$A$1:$G$1,0))</f>
        <v>7.77</v>
      </c>
      <c r="M945" s="7">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ID]],customers!$A$1:$A$1001,customers!$I$1:$I$1001,,0)</f>
        <v>No</v>
      </c>
    </row>
    <row r="946" spans="1:16" x14ac:dyDescent="0.35">
      <c r="A946" s="2" t="s">
        <v>5828</v>
      </c>
      <c r="B946" s="5">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6">
        <f>INDEX(products!$A$1:$G$49,MATCH(orders!$D946,products!$A$1:$A$49,0),MATCH(K$1,products!$A$1:$G$1,0))</f>
        <v>0.5</v>
      </c>
      <c r="L946" s="7">
        <f>INDEX(products!$A$1:$G$49,MATCH(orders!$D946,products!$A$1:$A$49,0),MATCH(L$1,products!$A$1:$G$1,0))</f>
        <v>7.169999999999999</v>
      </c>
      <c r="M946" s="7">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ID]],customers!$A$1:$A$1001,customers!$I$1:$I$1001,,0)</f>
        <v>No</v>
      </c>
    </row>
    <row r="947" spans="1:16" x14ac:dyDescent="0.35">
      <c r="A947" s="2" t="s">
        <v>5834</v>
      </c>
      <c r="B947" s="5">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6">
        <f>INDEX(products!$A$1:$G$49,MATCH(orders!$D947,products!$A$1:$A$49,0),MATCH(K$1,products!$A$1:$G$1,0))</f>
        <v>2.5</v>
      </c>
      <c r="L947" s="7">
        <f>INDEX(products!$A$1:$G$49,MATCH(orders!$D947,products!$A$1:$A$49,0),MATCH(L$1,products!$A$1:$G$1,0))</f>
        <v>29.784999999999997</v>
      </c>
      <c r="M947" s="7">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ID]],customers!$A$1:$A$1001,customers!$I$1:$I$1001,,0)</f>
        <v>No</v>
      </c>
    </row>
    <row r="948" spans="1:16" x14ac:dyDescent="0.35">
      <c r="A948" s="2" t="s">
        <v>5839</v>
      </c>
      <c r="B948" s="5">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6">
        <f>INDEX(products!$A$1:$G$49,MATCH(orders!$D948,products!$A$1:$A$49,0),MATCH(K$1,products!$A$1:$G$1,0))</f>
        <v>0.5</v>
      </c>
      <c r="L948" s="7">
        <f>INDEX(products!$A$1:$G$49,MATCH(orders!$D948,products!$A$1:$A$49,0),MATCH(L$1,products!$A$1:$G$1,0))</f>
        <v>7.77</v>
      </c>
      <c r="M948" s="7">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ID]],customers!$A$1:$A$1001,customers!$I$1:$I$1001,,0)</f>
        <v>No</v>
      </c>
    </row>
    <row r="949" spans="1:16" x14ac:dyDescent="0.35">
      <c r="A949" s="2" t="s">
        <v>5844</v>
      </c>
      <c r="B949" s="5">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6">
        <f>INDEX(products!$A$1:$G$49,MATCH(orders!$D949,products!$A$1:$A$49,0),MATCH(K$1,products!$A$1:$G$1,0))</f>
        <v>1</v>
      </c>
      <c r="L949" s="7">
        <f>INDEX(products!$A$1:$G$49,MATCH(orders!$D949,products!$A$1:$A$49,0),MATCH(L$1,products!$A$1:$G$1,0))</f>
        <v>11.25</v>
      </c>
      <c r="M949" s="7">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ID]],customers!$A$1:$A$1001,customers!$I$1:$I$1001,,0)</f>
        <v>No</v>
      </c>
    </row>
    <row r="950" spans="1:16" x14ac:dyDescent="0.35">
      <c r="A950" s="2" t="s">
        <v>5849</v>
      </c>
      <c r="B950" s="5">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6">
        <f>INDEX(products!$A$1:$G$49,MATCH(orders!$D950,products!$A$1:$A$49,0),MATCH(K$1,products!$A$1:$G$1,0))</f>
        <v>2.5</v>
      </c>
      <c r="L950" s="7">
        <f>INDEX(products!$A$1:$G$49,MATCH(orders!$D950,products!$A$1:$A$49,0),MATCH(L$1,products!$A$1:$G$1,0))</f>
        <v>27.945</v>
      </c>
      <c r="M950" s="7">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ID]],customers!$A$1:$A$1001,customers!$I$1:$I$1001,,0)</f>
        <v>Yes</v>
      </c>
    </row>
    <row r="951" spans="1:16" x14ac:dyDescent="0.35">
      <c r="A951" s="2" t="s">
        <v>5855</v>
      </c>
      <c r="B951" s="5">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6">
        <f>INDEX(products!$A$1:$G$49,MATCH(orders!$D951,products!$A$1:$A$49,0),MATCH(K$1,products!$A$1:$G$1,0))</f>
        <v>2.5</v>
      </c>
      <c r="L951" s="7">
        <f>INDEX(products!$A$1:$G$49,MATCH(orders!$D951,products!$A$1:$A$49,0),MATCH(L$1,products!$A$1:$G$1,0))</f>
        <v>27.484999999999996</v>
      </c>
      <c r="M951" s="7">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ID]],customers!$A$1:$A$1001,customers!$I$1:$I$1001,,0)</f>
        <v>No</v>
      </c>
    </row>
    <row r="952" spans="1:16" x14ac:dyDescent="0.35">
      <c r="A952" s="2" t="s">
        <v>5861</v>
      </c>
      <c r="B952" s="5">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6">
        <f>INDEX(products!$A$1:$G$49,MATCH(orders!$D952,products!$A$1:$A$49,0),MATCH(K$1,products!$A$1:$G$1,0))</f>
        <v>0.2</v>
      </c>
      <c r="L952" s="7">
        <f>INDEX(products!$A$1:$G$49,MATCH(orders!$D952,products!$A$1:$A$49,0),MATCH(L$1,products!$A$1:$G$1,0))</f>
        <v>3.5849999999999995</v>
      </c>
      <c r="M952" s="7">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ID]],customers!$A$1:$A$1001,customers!$I$1:$I$1001,,0)</f>
        <v>Yes</v>
      </c>
    </row>
    <row r="953" spans="1:16" x14ac:dyDescent="0.35">
      <c r="A953" s="2" t="s">
        <v>5866</v>
      </c>
      <c r="B953" s="5">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6">
        <f>INDEX(products!$A$1:$G$49,MATCH(orders!$D953,products!$A$1:$A$49,0),MATCH(K$1,products!$A$1:$G$1,0))</f>
        <v>0.2</v>
      </c>
      <c r="L953" s="7">
        <f>INDEX(products!$A$1:$G$49,MATCH(orders!$D953,products!$A$1:$A$49,0),MATCH(L$1,products!$A$1:$G$1,0))</f>
        <v>3.5849999999999995</v>
      </c>
      <c r="M953" s="7">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ID]],customers!$A$1:$A$1001,customers!$I$1:$I$1001,,0)</f>
        <v>No</v>
      </c>
    </row>
    <row r="954" spans="1:16" x14ac:dyDescent="0.35">
      <c r="A954" s="2" t="s">
        <v>5872</v>
      </c>
      <c r="B954" s="5">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6">
        <f>INDEX(products!$A$1:$G$49,MATCH(orders!$D954,products!$A$1:$A$49,0),MATCH(K$1,products!$A$1:$G$1,0))</f>
        <v>1</v>
      </c>
      <c r="L954" s="7">
        <f>INDEX(products!$A$1:$G$49,MATCH(orders!$D954,products!$A$1:$A$49,0),MATCH(L$1,products!$A$1:$G$1,0))</f>
        <v>11.25</v>
      </c>
      <c r="M954" s="7">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ID]],customers!$A$1:$A$1001,customers!$I$1:$I$1001,,0)</f>
        <v>Yes</v>
      </c>
    </row>
    <row r="955" spans="1:16" x14ac:dyDescent="0.35">
      <c r="A955" s="2" t="s">
        <v>5878</v>
      </c>
      <c r="B955" s="5">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6">
        <f>INDEX(products!$A$1:$G$49,MATCH(orders!$D955,products!$A$1:$A$49,0),MATCH(K$1,products!$A$1:$G$1,0))</f>
        <v>0.2</v>
      </c>
      <c r="L955" s="7">
        <f>INDEX(products!$A$1:$G$49,MATCH(orders!$D955,products!$A$1:$A$49,0),MATCH(L$1,products!$A$1:$G$1,0))</f>
        <v>3.8849999999999998</v>
      </c>
      <c r="M955" s="7">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ID]],customers!$A$1:$A$1001,customers!$I$1:$I$1001,,0)</f>
        <v>Yes</v>
      </c>
    </row>
    <row r="956" spans="1:16" x14ac:dyDescent="0.35">
      <c r="A956" s="2" t="s">
        <v>5884</v>
      </c>
      <c r="B956" s="5">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6">
        <f>INDEX(products!$A$1:$G$49,MATCH(orders!$D956,products!$A$1:$A$49,0),MATCH(K$1,products!$A$1:$G$1,0))</f>
        <v>2.5</v>
      </c>
      <c r="L956" s="7">
        <f>INDEX(products!$A$1:$G$49,MATCH(orders!$D956,products!$A$1:$A$49,0),MATCH(L$1,products!$A$1:$G$1,0))</f>
        <v>27.945</v>
      </c>
      <c r="M956" s="7">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ID]],customers!$A$1:$A$1001,customers!$I$1:$I$1001,,0)</f>
        <v>Yes</v>
      </c>
    </row>
    <row r="957" spans="1:16" x14ac:dyDescent="0.35">
      <c r="A957" s="2" t="s">
        <v>5890</v>
      </c>
      <c r="B957" s="5">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6">
        <f>INDEX(products!$A$1:$G$49,MATCH(orders!$D957,products!$A$1:$A$49,0),MATCH(K$1,products!$A$1:$G$1,0))</f>
        <v>2.5</v>
      </c>
      <c r="L957" s="7">
        <f>INDEX(products!$A$1:$G$49,MATCH(orders!$D957,products!$A$1:$A$49,0),MATCH(L$1,products!$A$1:$G$1,0))</f>
        <v>34.154999999999994</v>
      </c>
      <c r="M957" s="7">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ID]],customers!$A$1:$A$1001,customers!$I$1:$I$1001,,0)</f>
        <v>Yes</v>
      </c>
    </row>
    <row r="958" spans="1:16" x14ac:dyDescent="0.35">
      <c r="A958" s="2" t="s">
        <v>5890</v>
      </c>
      <c r="B958" s="5">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6">
        <f>INDEX(products!$A$1:$G$49,MATCH(orders!$D958,products!$A$1:$A$49,0),MATCH(K$1,products!$A$1:$G$1,0))</f>
        <v>2.5</v>
      </c>
      <c r="L958" s="7">
        <f>INDEX(products!$A$1:$G$49,MATCH(orders!$D958,products!$A$1:$A$49,0),MATCH(L$1,products!$A$1:$G$1,0))</f>
        <v>27.484999999999996</v>
      </c>
      <c r="M958" s="7">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ID]],customers!$A$1:$A$1001,customers!$I$1:$I$1001,,0)</f>
        <v>Yes</v>
      </c>
    </row>
    <row r="959" spans="1:16" x14ac:dyDescent="0.35">
      <c r="A959" s="2" t="s">
        <v>5890</v>
      </c>
      <c r="B959" s="5">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6">
        <f>INDEX(products!$A$1:$G$49,MATCH(orders!$D959,products!$A$1:$A$49,0),MATCH(K$1,products!$A$1:$G$1,0))</f>
        <v>1</v>
      </c>
      <c r="L959" s="7">
        <f>INDEX(products!$A$1:$G$49,MATCH(orders!$D959,products!$A$1:$A$49,0),MATCH(L$1,products!$A$1:$G$1,0))</f>
        <v>14.85</v>
      </c>
      <c r="M959" s="7">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ID]],customers!$A$1:$A$1001,customers!$I$1:$I$1001,,0)</f>
        <v>Yes</v>
      </c>
    </row>
    <row r="960" spans="1:16" x14ac:dyDescent="0.35">
      <c r="A960" s="2" t="s">
        <v>5890</v>
      </c>
      <c r="B960" s="5">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6">
        <f>INDEX(products!$A$1:$G$49,MATCH(orders!$D960,products!$A$1:$A$49,0),MATCH(K$1,products!$A$1:$G$1,0))</f>
        <v>0.2</v>
      </c>
      <c r="L960" s="7">
        <f>INDEX(products!$A$1:$G$49,MATCH(orders!$D960,products!$A$1:$A$49,0),MATCH(L$1,products!$A$1:$G$1,0))</f>
        <v>3.8849999999999998</v>
      </c>
      <c r="M960" s="7">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ID]],customers!$A$1:$A$1001,customers!$I$1:$I$1001,,0)</f>
        <v>Yes</v>
      </c>
    </row>
    <row r="961" spans="1:16" x14ac:dyDescent="0.35">
      <c r="A961" s="2" t="s">
        <v>5910</v>
      </c>
      <c r="B961" s="5">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6">
        <f>INDEX(products!$A$1:$G$49,MATCH(orders!$D961,products!$A$1:$A$49,0),MATCH(K$1,products!$A$1:$G$1,0))</f>
        <v>0.2</v>
      </c>
      <c r="L961" s="7">
        <f>INDEX(products!$A$1:$G$49,MATCH(orders!$D961,products!$A$1:$A$49,0),MATCH(L$1,products!$A$1:$G$1,0))</f>
        <v>4.7549999999999999</v>
      </c>
      <c r="M961" s="7">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ID]],customers!$A$1:$A$1001,customers!$I$1:$I$1001,,0)</f>
        <v>Yes</v>
      </c>
    </row>
    <row r="962" spans="1:16" x14ac:dyDescent="0.35">
      <c r="A962" s="2" t="s">
        <v>5915</v>
      </c>
      <c r="B962" s="5">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6">
        <f>INDEX(products!$A$1:$G$49,MATCH(orders!$D962,products!$A$1:$A$49,0),MATCH(K$1,products!$A$1:$G$1,0))</f>
        <v>1</v>
      </c>
      <c r="L962" s="7">
        <f>INDEX(products!$A$1:$G$49,MATCH(orders!$D962,products!$A$1:$A$49,0),MATCH(L$1,products!$A$1:$G$1,0))</f>
        <v>15.85</v>
      </c>
      <c r="M962" s="7">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ID]],customers!$A$1:$A$1001,customers!$I$1:$I$1001,,0)</f>
        <v>Yes</v>
      </c>
    </row>
    <row r="963" spans="1:16" x14ac:dyDescent="0.35">
      <c r="A963" s="2" t="s">
        <v>5921</v>
      </c>
      <c r="B963" s="5">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6">
        <f>INDEX(products!$A$1:$G$49,MATCH(orders!$D963,products!$A$1:$A$49,0),MATCH(K$1,products!$A$1:$G$1,0))</f>
        <v>2.5</v>
      </c>
      <c r="L963" s="7">
        <f>INDEX(products!$A$1:$G$49,MATCH(orders!$D963,products!$A$1:$A$49,0),MATCH(L$1,products!$A$1:$G$1,0))</f>
        <v>22.884999999999998</v>
      </c>
      <c r="M963" s="7">
        <f t="shared" ref="M963:M1001" si="15">PRODUCT(L963,E963)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ID]],customers!$A$1:$A$1001,customers!$I$1:$I$1001,,0)</f>
        <v>Yes</v>
      </c>
    </row>
    <row r="964" spans="1:16" x14ac:dyDescent="0.35">
      <c r="A964" s="2" t="s">
        <v>5926</v>
      </c>
      <c r="B964" s="5">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6">
        <f>INDEX(products!$A$1:$G$49,MATCH(orders!$D964,products!$A$1:$A$49,0),MATCH(K$1,products!$A$1:$G$1,0))</f>
        <v>1</v>
      </c>
      <c r="L964" s="7">
        <f>INDEX(products!$A$1:$G$49,MATCH(orders!$D964,products!$A$1:$A$49,0),MATCH(L$1,products!$A$1:$G$1,0))</f>
        <v>8.9499999999999993</v>
      </c>
      <c r="M964" s="7">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ID]],customers!$A$1:$A$1001,customers!$I$1:$I$1001,,0)</f>
        <v>Yes</v>
      </c>
    </row>
    <row r="965" spans="1:16" x14ac:dyDescent="0.35">
      <c r="A965" s="2" t="s">
        <v>5932</v>
      </c>
      <c r="B965" s="5">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6">
        <f>INDEX(products!$A$1:$G$49,MATCH(orders!$D965,products!$A$1:$A$49,0),MATCH(K$1,products!$A$1:$G$1,0))</f>
        <v>0.5</v>
      </c>
      <c r="L965" s="7">
        <f>INDEX(products!$A$1:$G$49,MATCH(orders!$D965,products!$A$1:$A$49,0),MATCH(L$1,products!$A$1:$G$1,0))</f>
        <v>5.97</v>
      </c>
      <c r="M965" s="7">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ID]],customers!$A$1:$A$1001,customers!$I$1:$I$1001,,0)</f>
        <v>Yes</v>
      </c>
    </row>
    <row r="966" spans="1:16" x14ac:dyDescent="0.35">
      <c r="A966" s="2" t="s">
        <v>5938</v>
      </c>
      <c r="B966" s="5">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6">
        <f>INDEX(products!$A$1:$G$49,MATCH(orders!$D966,products!$A$1:$A$49,0),MATCH(K$1,products!$A$1:$G$1,0))</f>
        <v>0.2</v>
      </c>
      <c r="L966" s="7">
        <f>INDEX(products!$A$1:$G$49,MATCH(orders!$D966,products!$A$1:$A$49,0),MATCH(L$1,products!$A$1:$G$1,0))</f>
        <v>4.4550000000000001</v>
      </c>
      <c r="M966" s="7">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ID]],customers!$A$1:$A$1001,customers!$I$1:$I$1001,,0)</f>
        <v>No</v>
      </c>
    </row>
    <row r="967" spans="1:16" x14ac:dyDescent="0.35">
      <c r="A967" s="2" t="s">
        <v>5944</v>
      </c>
      <c r="B967" s="5">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6">
        <f>INDEX(products!$A$1:$G$49,MATCH(orders!$D967,products!$A$1:$A$49,0),MATCH(K$1,products!$A$1:$G$1,0))</f>
        <v>1</v>
      </c>
      <c r="L967" s="7">
        <f>INDEX(products!$A$1:$G$49,MATCH(orders!$D967,products!$A$1:$A$49,0),MATCH(L$1,products!$A$1:$G$1,0))</f>
        <v>9.9499999999999993</v>
      </c>
      <c r="M967" s="7">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ID]],customers!$A$1:$A$1001,customers!$I$1:$I$1001,,0)</f>
        <v>Yes</v>
      </c>
    </row>
    <row r="968" spans="1:16" x14ac:dyDescent="0.35">
      <c r="A968" s="2" t="s">
        <v>5949</v>
      </c>
      <c r="B968" s="5">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6">
        <f>INDEX(products!$A$1:$G$49,MATCH(orders!$D968,products!$A$1:$A$49,0),MATCH(K$1,products!$A$1:$G$1,0))</f>
        <v>0.5</v>
      </c>
      <c r="L968" s="7">
        <f>INDEX(products!$A$1:$G$49,MATCH(orders!$D968,products!$A$1:$A$49,0),MATCH(L$1,products!$A$1:$G$1,0))</f>
        <v>8.91</v>
      </c>
      <c r="M968" s="7">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ID]],customers!$A$1:$A$1001,customers!$I$1:$I$1001,,0)</f>
        <v>Yes</v>
      </c>
    </row>
    <row r="969" spans="1:16" x14ac:dyDescent="0.35">
      <c r="A969" s="2" t="s">
        <v>5955</v>
      </c>
      <c r="B969" s="5">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6">
        <f>INDEX(products!$A$1:$G$49,MATCH(orders!$D969,products!$A$1:$A$49,0),MATCH(K$1,products!$A$1:$G$1,0))</f>
        <v>0.2</v>
      </c>
      <c r="L969" s="7">
        <f>INDEX(products!$A$1:$G$49,MATCH(orders!$D969,products!$A$1:$A$49,0),MATCH(L$1,products!$A$1:$G$1,0))</f>
        <v>2.6849999999999996</v>
      </c>
      <c r="M969" s="7">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ID]],customers!$A$1:$A$1001,customers!$I$1:$I$1001,,0)</f>
        <v>Yes</v>
      </c>
    </row>
    <row r="970" spans="1:16" x14ac:dyDescent="0.35">
      <c r="A970" s="2" t="s">
        <v>5961</v>
      </c>
      <c r="B970" s="5">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6">
        <f>INDEX(products!$A$1:$G$49,MATCH(orders!$D970,products!$A$1:$A$49,0),MATCH(K$1,products!$A$1:$G$1,0))</f>
        <v>0.2</v>
      </c>
      <c r="L970" s="7">
        <f>INDEX(products!$A$1:$G$49,MATCH(orders!$D970,products!$A$1:$A$49,0),MATCH(L$1,products!$A$1:$G$1,0))</f>
        <v>2.9849999999999999</v>
      </c>
      <c r="M970" s="7">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ID]],customers!$A$1:$A$1001,customers!$I$1:$I$1001,,0)</f>
        <v>No</v>
      </c>
    </row>
    <row r="971" spans="1:16" x14ac:dyDescent="0.35">
      <c r="A971" s="2" t="s">
        <v>5967</v>
      </c>
      <c r="B971" s="5">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6">
        <f>INDEX(products!$A$1:$G$49,MATCH(orders!$D971,products!$A$1:$A$49,0),MATCH(K$1,products!$A$1:$G$1,0))</f>
        <v>1</v>
      </c>
      <c r="L971" s="7">
        <f>INDEX(products!$A$1:$G$49,MATCH(orders!$D971,products!$A$1:$A$49,0),MATCH(L$1,products!$A$1:$G$1,0))</f>
        <v>12.95</v>
      </c>
      <c r="M971" s="7">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ID]],customers!$A$1:$A$1001,customers!$I$1:$I$1001,,0)</f>
        <v>Yes</v>
      </c>
    </row>
    <row r="972" spans="1:16" x14ac:dyDescent="0.35">
      <c r="A972" s="2" t="s">
        <v>5973</v>
      </c>
      <c r="B972" s="5">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6">
        <f>INDEX(products!$A$1:$G$49,MATCH(orders!$D972,products!$A$1:$A$49,0),MATCH(K$1,products!$A$1:$G$1,0))</f>
        <v>0.5</v>
      </c>
      <c r="L972" s="7">
        <f>INDEX(products!$A$1:$G$49,MATCH(orders!$D972,products!$A$1:$A$49,0),MATCH(L$1,products!$A$1:$G$1,0))</f>
        <v>8.25</v>
      </c>
      <c r="M972" s="7">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ID]],customers!$A$1:$A$1001,customers!$I$1:$I$1001,,0)</f>
        <v>No</v>
      </c>
    </row>
    <row r="973" spans="1:16" x14ac:dyDescent="0.35">
      <c r="A973" s="2" t="s">
        <v>5978</v>
      </c>
      <c r="B973" s="5">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6">
        <f>INDEX(products!$A$1:$G$49,MATCH(orders!$D973,products!$A$1:$A$49,0),MATCH(K$1,products!$A$1:$G$1,0))</f>
        <v>2.5</v>
      </c>
      <c r="L973" s="7">
        <f>INDEX(products!$A$1:$G$49,MATCH(orders!$D973,products!$A$1:$A$49,0),MATCH(L$1,products!$A$1:$G$1,0))</f>
        <v>29.784999999999997</v>
      </c>
      <c r="M973" s="7">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ID]],customers!$A$1:$A$1001,customers!$I$1:$I$1001,,0)</f>
        <v>No</v>
      </c>
    </row>
    <row r="974" spans="1:16" x14ac:dyDescent="0.35">
      <c r="A974" s="2" t="s">
        <v>5984</v>
      </c>
      <c r="B974" s="5">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6">
        <f>INDEX(products!$A$1:$G$49,MATCH(orders!$D974,products!$A$1:$A$49,0),MATCH(K$1,products!$A$1:$G$1,0))</f>
        <v>2.5</v>
      </c>
      <c r="L974" s="7">
        <f>INDEX(products!$A$1:$G$49,MATCH(orders!$D974,products!$A$1:$A$49,0),MATCH(L$1,products!$A$1:$G$1,0))</f>
        <v>29.784999999999997</v>
      </c>
      <c r="M974" s="7">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ID]],customers!$A$1:$A$1001,customers!$I$1:$I$1001,,0)</f>
        <v>Yes</v>
      </c>
    </row>
    <row r="975" spans="1:16" x14ac:dyDescent="0.35">
      <c r="A975" s="2" t="s">
        <v>5989</v>
      </c>
      <c r="B975" s="5">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6">
        <f>INDEX(products!$A$1:$G$49,MATCH(orders!$D975,products!$A$1:$A$49,0),MATCH(K$1,products!$A$1:$G$1,0))</f>
        <v>1</v>
      </c>
      <c r="L975" s="7">
        <f>INDEX(products!$A$1:$G$49,MATCH(orders!$D975,products!$A$1:$A$49,0),MATCH(L$1,products!$A$1:$G$1,0))</f>
        <v>14.55</v>
      </c>
      <c r="M975" s="7">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ID]],customers!$A$1:$A$1001,customers!$I$1:$I$1001,,0)</f>
        <v>No</v>
      </c>
    </row>
    <row r="976" spans="1:16" x14ac:dyDescent="0.35">
      <c r="A976" s="2" t="s">
        <v>5995</v>
      </c>
      <c r="B976" s="5">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6">
        <f>INDEX(products!$A$1:$G$49,MATCH(orders!$D976,products!$A$1:$A$49,0),MATCH(K$1,products!$A$1:$G$1,0))</f>
        <v>0.5</v>
      </c>
      <c r="L976" s="7">
        <f>INDEX(products!$A$1:$G$49,MATCH(orders!$D976,products!$A$1:$A$49,0),MATCH(L$1,products!$A$1:$G$1,0))</f>
        <v>5.3699999999999992</v>
      </c>
      <c r="M976" s="7">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ID]],customers!$A$1:$A$1001,customers!$I$1:$I$1001,,0)</f>
        <v>Yes</v>
      </c>
    </row>
    <row r="977" spans="1:16" x14ac:dyDescent="0.35">
      <c r="A977" s="2" t="s">
        <v>6001</v>
      </c>
      <c r="B977" s="5">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6">
        <f>INDEX(products!$A$1:$G$49,MATCH(orders!$D977,products!$A$1:$A$49,0),MATCH(K$1,products!$A$1:$G$1,0))</f>
        <v>0.2</v>
      </c>
      <c r="L977" s="7">
        <f>INDEX(products!$A$1:$G$49,MATCH(orders!$D977,products!$A$1:$A$49,0),MATCH(L$1,products!$A$1:$G$1,0))</f>
        <v>2.9849999999999999</v>
      </c>
      <c r="M977" s="7">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ID]],customers!$A$1:$A$1001,customers!$I$1:$I$1001,,0)</f>
        <v>Yes</v>
      </c>
    </row>
    <row r="978" spans="1:16" x14ac:dyDescent="0.35">
      <c r="A978" s="2" t="s">
        <v>6007</v>
      </c>
      <c r="B978" s="5">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6">
        <f>INDEX(products!$A$1:$G$49,MATCH(orders!$D978,products!$A$1:$A$49,0),MATCH(K$1,products!$A$1:$G$1,0))</f>
        <v>2.5</v>
      </c>
      <c r="L978" s="7">
        <f>INDEX(products!$A$1:$G$49,MATCH(orders!$D978,products!$A$1:$A$49,0),MATCH(L$1,products!$A$1:$G$1,0))</f>
        <v>27.484999999999996</v>
      </c>
      <c r="M978" s="7">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ID]],customers!$A$1:$A$1001,customers!$I$1:$I$1001,,0)</f>
        <v>Yes</v>
      </c>
    </row>
    <row r="979" spans="1:16" x14ac:dyDescent="0.35">
      <c r="A979" s="2" t="s">
        <v>6013</v>
      </c>
      <c r="B979" s="5">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6">
        <f>INDEX(products!$A$1:$G$49,MATCH(orders!$D979,products!$A$1:$A$49,0),MATCH(K$1,products!$A$1:$G$1,0))</f>
        <v>1</v>
      </c>
      <c r="L979" s="7">
        <f>INDEX(products!$A$1:$G$49,MATCH(orders!$D979,products!$A$1:$A$49,0),MATCH(L$1,products!$A$1:$G$1,0))</f>
        <v>11.95</v>
      </c>
      <c r="M979" s="7">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ID]],customers!$A$1:$A$1001,customers!$I$1:$I$1001,,0)</f>
        <v>No</v>
      </c>
    </row>
    <row r="980" spans="1:16" x14ac:dyDescent="0.35">
      <c r="A980" s="2" t="s">
        <v>6019</v>
      </c>
      <c r="B980" s="5">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6">
        <f>INDEX(products!$A$1:$G$49,MATCH(orders!$D980,products!$A$1:$A$49,0),MATCH(K$1,products!$A$1:$G$1,0))</f>
        <v>0.5</v>
      </c>
      <c r="L980" s="7">
        <f>INDEX(products!$A$1:$G$49,MATCH(orders!$D980,products!$A$1:$A$49,0),MATCH(L$1,products!$A$1:$G$1,0))</f>
        <v>7.77</v>
      </c>
      <c r="M980" s="7">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ID]],customers!$A$1:$A$1001,customers!$I$1:$I$1001,,0)</f>
        <v>No</v>
      </c>
    </row>
    <row r="981" spans="1:16" x14ac:dyDescent="0.35">
      <c r="A981" s="2" t="s">
        <v>6025</v>
      </c>
      <c r="B981" s="5">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6">
        <f>INDEX(products!$A$1:$G$49,MATCH(orders!$D981,products!$A$1:$A$49,0),MATCH(K$1,products!$A$1:$G$1,0))</f>
        <v>0.5</v>
      </c>
      <c r="L981" s="7">
        <f>INDEX(products!$A$1:$G$49,MATCH(orders!$D981,products!$A$1:$A$49,0),MATCH(L$1,products!$A$1:$G$1,0))</f>
        <v>5.3699999999999992</v>
      </c>
      <c r="M981" s="7">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ID]],customers!$A$1:$A$1001,customers!$I$1:$I$1001,,0)</f>
        <v>No</v>
      </c>
    </row>
    <row r="982" spans="1:16" x14ac:dyDescent="0.35">
      <c r="A982" s="2" t="s">
        <v>6030</v>
      </c>
      <c r="B982" s="5">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6">
        <f>INDEX(products!$A$1:$G$49,MATCH(orders!$D982,products!$A$1:$A$49,0),MATCH(K$1,products!$A$1:$G$1,0))</f>
        <v>2.5</v>
      </c>
      <c r="L982" s="7">
        <f>INDEX(products!$A$1:$G$49,MATCH(orders!$D982,products!$A$1:$A$49,0),MATCH(L$1,products!$A$1:$G$1,0))</f>
        <v>27.945</v>
      </c>
      <c r="M982" s="7">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ID]],customers!$A$1:$A$1001,customers!$I$1:$I$1001,,0)</f>
        <v>Yes</v>
      </c>
    </row>
    <row r="983" spans="1:16" x14ac:dyDescent="0.35">
      <c r="A983" s="2" t="s">
        <v>6035</v>
      </c>
      <c r="B983" s="5">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6">
        <f>INDEX(products!$A$1:$G$49,MATCH(orders!$D983,products!$A$1:$A$49,0),MATCH(K$1,products!$A$1:$G$1,0))</f>
        <v>0.2</v>
      </c>
      <c r="L983" s="7">
        <f>INDEX(products!$A$1:$G$49,MATCH(orders!$D983,products!$A$1:$A$49,0),MATCH(L$1,products!$A$1:$G$1,0))</f>
        <v>3.645</v>
      </c>
      <c r="M983" s="7">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ID]],customers!$A$1:$A$1001,customers!$I$1:$I$1001,,0)</f>
        <v>Yes</v>
      </c>
    </row>
    <row r="984" spans="1:16" x14ac:dyDescent="0.35">
      <c r="A984" s="2" t="s">
        <v>6041</v>
      </c>
      <c r="B984" s="5">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6">
        <f>INDEX(products!$A$1:$G$49,MATCH(orders!$D984,products!$A$1:$A$49,0),MATCH(K$1,products!$A$1:$G$1,0))</f>
        <v>1</v>
      </c>
      <c r="L984" s="7">
        <f>INDEX(products!$A$1:$G$49,MATCH(orders!$D984,products!$A$1:$A$49,0),MATCH(L$1,products!$A$1:$G$1,0))</f>
        <v>11.95</v>
      </c>
      <c r="M984" s="7">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ID]],customers!$A$1:$A$1001,customers!$I$1:$I$1001,,0)</f>
        <v>Yes</v>
      </c>
    </row>
    <row r="985" spans="1:16" x14ac:dyDescent="0.35">
      <c r="A985" s="2" t="s">
        <v>6047</v>
      </c>
      <c r="B985" s="5">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6">
        <f>INDEX(products!$A$1:$G$49,MATCH(orders!$D985,products!$A$1:$A$49,0),MATCH(K$1,products!$A$1:$G$1,0))</f>
        <v>0.2</v>
      </c>
      <c r="L985" s="7">
        <f>INDEX(products!$A$1:$G$49,MATCH(orders!$D985,products!$A$1:$A$49,0),MATCH(L$1,products!$A$1:$G$1,0))</f>
        <v>3.375</v>
      </c>
      <c r="M985" s="7">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ID]],customers!$A$1:$A$1001,customers!$I$1:$I$1001,,0)</f>
        <v>Yes</v>
      </c>
    </row>
    <row r="986" spans="1:16" x14ac:dyDescent="0.35">
      <c r="A986" s="2" t="s">
        <v>6053</v>
      </c>
      <c r="B986" s="5">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6">
        <f>INDEX(products!$A$1:$G$49,MATCH(orders!$D986,products!$A$1:$A$49,0),MATCH(K$1,products!$A$1:$G$1,0))</f>
        <v>2.5</v>
      </c>
      <c r="L986" s="7">
        <f>INDEX(products!$A$1:$G$49,MATCH(orders!$D986,products!$A$1:$A$49,0),MATCH(L$1,products!$A$1:$G$1,0))</f>
        <v>31.624999999999996</v>
      </c>
      <c r="M986" s="7">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ID]],customers!$A$1:$A$1001,customers!$I$1:$I$1001,,0)</f>
        <v>Yes</v>
      </c>
    </row>
    <row r="987" spans="1:16" x14ac:dyDescent="0.35">
      <c r="A987" s="2" t="s">
        <v>6058</v>
      </c>
      <c r="B987" s="5">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6">
        <f>INDEX(products!$A$1:$G$49,MATCH(orders!$D987,products!$A$1:$A$49,0),MATCH(K$1,products!$A$1:$G$1,0))</f>
        <v>1</v>
      </c>
      <c r="L987" s="7">
        <f>INDEX(products!$A$1:$G$49,MATCH(orders!$D987,products!$A$1:$A$49,0),MATCH(L$1,products!$A$1:$G$1,0))</f>
        <v>11.95</v>
      </c>
      <c r="M987" s="7">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ID]],customers!$A$1:$A$1001,customers!$I$1:$I$1001,,0)</f>
        <v>No</v>
      </c>
    </row>
    <row r="988" spans="1:16" x14ac:dyDescent="0.35">
      <c r="A988" s="2" t="s">
        <v>6064</v>
      </c>
      <c r="B988" s="5">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6">
        <f>INDEX(products!$A$1:$G$49,MATCH(orders!$D988,products!$A$1:$A$49,0),MATCH(K$1,products!$A$1:$G$1,0))</f>
        <v>2.5</v>
      </c>
      <c r="L988" s="7">
        <f>INDEX(products!$A$1:$G$49,MATCH(orders!$D988,products!$A$1:$A$49,0),MATCH(L$1,products!$A$1:$G$1,0))</f>
        <v>33.464999999999996</v>
      </c>
      <c r="M988" s="7">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ID]],customers!$A$1:$A$1001,customers!$I$1:$I$1001,,0)</f>
        <v>No</v>
      </c>
    </row>
    <row r="989" spans="1:16" x14ac:dyDescent="0.35">
      <c r="A989" s="2" t="s">
        <v>6070</v>
      </c>
      <c r="B989" s="5">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6">
        <f>INDEX(products!$A$1:$G$49,MATCH(orders!$D989,products!$A$1:$A$49,0),MATCH(K$1,products!$A$1:$G$1,0))</f>
        <v>0.5</v>
      </c>
      <c r="L989" s="7">
        <f>INDEX(products!$A$1:$G$49,MATCH(orders!$D989,products!$A$1:$A$49,0),MATCH(L$1,products!$A$1:$G$1,0))</f>
        <v>5.97</v>
      </c>
      <c r="M989" s="7">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ID]],customers!$A$1:$A$1001,customers!$I$1:$I$1001,,0)</f>
        <v>Yes</v>
      </c>
    </row>
    <row r="990" spans="1:16" x14ac:dyDescent="0.35">
      <c r="A990" s="2" t="s">
        <v>6076</v>
      </c>
      <c r="B990" s="5">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6">
        <f>INDEX(products!$A$1:$G$49,MATCH(orders!$D990,products!$A$1:$A$49,0),MATCH(K$1,products!$A$1:$G$1,0))</f>
        <v>1</v>
      </c>
      <c r="L990" s="7">
        <f>INDEX(products!$A$1:$G$49,MATCH(orders!$D990,products!$A$1:$A$49,0),MATCH(L$1,products!$A$1:$G$1,0))</f>
        <v>9.9499999999999993</v>
      </c>
      <c r="M990" s="7">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ID]],customers!$A$1:$A$1001,customers!$I$1:$I$1001,,0)</f>
        <v>Yes</v>
      </c>
    </row>
    <row r="991" spans="1:16" x14ac:dyDescent="0.35">
      <c r="A991" s="2" t="s">
        <v>6081</v>
      </c>
      <c r="B991" s="5">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6">
        <f>INDEX(products!$A$1:$G$49,MATCH(orders!$D991,products!$A$1:$A$49,0),MATCH(K$1,products!$A$1:$G$1,0))</f>
        <v>2.5</v>
      </c>
      <c r="L991" s="7">
        <f>INDEX(products!$A$1:$G$49,MATCH(orders!$D991,products!$A$1:$A$49,0),MATCH(L$1,products!$A$1:$G$1,0))</f>
        <v>25.874999999999996</v>
      </c>
      <c r="M991" s="7">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ID]],customers!$A$1:$A$1001,customers!$I$1:$I$1001,,0)</f>
        <v>Yes</v>
      </c>
    </row>
    <row r="992" spans="1:16" x14ac:dyDescent="0.35">
      <c r="A992" s="2" t="s">
        <v>6086</v>
      </c>
      <c r="B992" s="5">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6">
        <f>INDEX(products!$A$1:$G$49,MATCH(orders!$D992,products!$A$1:$A$49,0),MATCH(K$1,products!$A$1:$G$1,0))</f>
        <v>0.2</v>
      </c>
      <c r="L992" s="7">
        <f>INDEX(products!$A$1:$G$49,MATCH(orders!$D992,products!$A$1:$A$49,0),MATCH(L$1,products!$A$1:$G$1,0))</f>
        <v>3.645</v>
      </c>
      <c r="M992" s="7">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ID]],customers!$A$1:$A$1001,customers!$I$1:$I$1001,,0)</f>
        <v>No</v>
      </c>
    </row>
    <row r="993" spans="1:16" x14ac:dyDescent="0.35">
      <c r="A993" s="2" t="s">
        <v>6086</v>
      </c>
      <c r="B993" s="5">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6">
        <f>INDEX(products!$A$1:$G$49,MATCH(orders!$D993,products!$A$1:$A$49,0),MATCH(K$1,products!$A$1:$G$1,0))</f>
        <v>0.5</v>
      </c>
      <c r="L993" s="7">
        <f>INDEX(products!$A$1:$G$49,MATCH(orders!$D993,products!$A$1:$A$49,0),MATCH(L$1,products!$A$1:$G$1,0))</f>
        <v>7.77</v>
      </c>
      <c r="M993" s="7">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ID]],customers!$A$1:$A$1001,customers!$I$1:$I$1001,,0)</f>
        <v>No</v>
      </c>
    </row>
    <row r="994" spans="1:16" x14ac:dyDescent="0.35">
      <c r="A994" s="2" t="s">
        <v>6096</v>
      </c>
      <c r="B994" s="5">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6">
        <f>INDEX(products!$A$1:$G$49,MATCH(orders!$D994,products!$A$1:$A$49,0),MATCH(K$1,products!$A$1:$G$1,0))</f>
        <v>2.5</v>
      </c>
      <c r="L994" s="7">
        <f>INDEX(products!$A$1:$G$49,MATCH(orders!$D994,products!$A$1:$A$49,0),MATCH(L$1,products!$A$1:$G$1,0))</f>
        <v>36.454999999999998</v>
      </c>
      <c r="M994" s="7">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ID]],customers!$A$1:$A$1001,customers!$I$1:$I$1001,,0)</f>
        <v>No</v>
      </c>
    </row>
    <row r="995" spans="1:16" x14ac:dyDescent="0.35">
      <c r="A995" s="2" t="s">
        <v>6101</v>
      </c>
      <c r="B995" s="5">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6">
        <f>INDEX(products!$A$1:$G$49,MATCH(orders!$D995,products!$A$1:$A$49,0),MATCH(K$1,products!$A$1:$G$1,0))</f>
        <v>1</v>
      </c>
      <c r="L995" s="7">
        <f>INDEX(products!$A$1:$G$49,MATCH(orders!$D995,products!$A$1:$A$49,0),MATCH(L$1,products!$A$1:$G$1,0))</f>
        <v>12.95</v>
      </c>
      <c r="M995" s="7">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ID]],customers!$A$1:$A$1001,customers!$I$1:$I$1001,,0)</f>
        <v>No</v>
      </c>
    </row>
    <row r="996" spans="1:16" x14ac:dyDescent="0.35">
      <c r="A996" s="2" t="s">
        <v>6106</v>
      </c>
      <c r="B996" s="5">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6">
        <f>INDEX(products!$A$1:$G$49,MATCH(orders!$D996,products!$A$1:$A$49,0),MATCH(K$1,products!$A$1:$G$1,0))</f>
        <v>0.2</v>
      </c>
      <c r="L996" s="7">
        <f>INDEX(products!$A$1:$G$49,MATCH(orders!$D996,products!$A$1:$A$49,0),MATCH(L$1,products!$A$1:$G$1,0))</f>
        <v>2.9849999999999999</v>
      </c>
      <c r="M996" s="7">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ID]],customers!$A$1:$A$1001,customers!$I$1:$I$1001,,0)</f>
        <v>No</v>
      </c>
    </row>
    <row r="997" spans="1:16" x14ac:dyDescent="0.35">
      <c r="A997" s="2" t="s">
        <v>6111</v>
      </c>
      <c r="B997" s="5">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6">
        <f>INDEX(products!$A$1:$G$49,MATCH(orders!$D997,products!$A$1:$A$49,0),MATCH(K$1,products!$A$1:$G$1,0))</f>
        <v>2.5</v>
      </c>
      <c r="L997" s="7">
        <f>INDEX(products!$A$1:$G$49,MATCH(orders!$D997,products!$A$1:$A$49,0),MATCH(L$1,products!$A$1:$G$1,0))</f>
        <v>27.484999999999996</v>
      </c>
      <c r="M997" s="7">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ID]],customers!$A$1:$A$1001,customers!$I$1:$I$1001,,0)</f>
        <v>No</v>
      </c>
    </row>
    <row r="998" spans="1:16" x14ac:dyDescent="0.35">
      <c r="A998" s="2" t="s">
        <v>6117</v>
      </c>
      <c r="B998" s="5">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6">
        <f>INDEX(products!$A$1:$G$49,MATCH(orders!$D998,products!$A$1:$A$49,0),MATCH(K$1,products!$A$1:$G$1,0))</f>
        <v>0.5</v>
      </c>
      <c r="L998" s="7">
        <f>INDEX(products!$A$1:$G$49,MATCH(orders!$D998,products!$A$1:$A$49,0),MATCH(L$1,products!$A$1:$G$1,0))</f>
        <v>5.97</v>
      </c>
      <c r="M998" s="7">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ID]],customers!$A$1:$A$1001,customers!$I$1:$I$1001,,0)</f>
        <v>No</v>
      </c>
    </row>
    <row r="999" spans="1:16" x14ac:dyDescent="0.35">
      <c r="A999" s="2" t="s">
        <v>6122</v>
      </c>
      <c r="B999" s="5">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6">
        <f>INDEX(products!$A$1:$G$49,MATCH(orders!$D999,products!$A$1:$A$49,0),MATCH(K$1,products!$A$1:$G$1,0))</f>
        <v>0.5</v>
      </c>
      <c r="L999" s="7">
        <f>INDEX(products!$A$1:$G$49,MATCH(orders!$D999,products!$A$1:$A$49,0),MATCH(L$1,products!$A$1:$G$1,0))</f>
        <v>6.75</v>
      </c>
      <c r="M999" s="7">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ID]],customers!$A$1:$A$1001,customers!$I$1:$I$1001,,0)</f>
        <v>No</v>
      </c>
    </row>
    <row r="1000" spans="1:16" x14ac:dyDescent="0.35">
      <c r="A1000" s="2" t="s">
        <v>6127</v>
      </c>
      <c r="B1000" s="5">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6">
        <f>INDEX(products!$A$1:$G$49,MATCH(orders!$D1000,products!$A$1:$A$49,0),MATCH(K$1,products!$A$1:$G$1,0))</f>
        <v>1</v>
      </c>
      <c r="L1000" s="7">
        <f>INDEX(products!$A$1:$G$49,MATCH(orders!$D1000,products!$A$1:$A$49,0),MATCH(L$1,products!$A$1:$G$1,0))</f>
        <v>9.9499999999999993</v>
      </c>
      <c r="M1000" s="7">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ID]],customers!$A$1:$A$1001,customers!$I$1:$I$1001,,0)</f>
        <v>No</v>
      </c>
    </row>
    <row r="1001" spans="1:16" x14ac:dyDescent="0.35">
      <c r="A1001" s="2" t="s">
        <v>6133</v>
      </c>
      <c r="B1001" s="5">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6">
        <f>INDEX(products!$A$1:$G$49,MATCH(orders!$D1001,products!$A$1:$A$49,0),MATCH(K$1,products!$A$1:$G$1,0))</f>
        <v>0.2</v>
      </c>
      <c r="L1001" s="7">
        <f>INDEX(products!$A$1:$G$49,MATCH(orders!$D1001,products!$A$1:$A$49,0),MATCH(L$1,products!$A$1:$G$1,0))</f>
        <v>4.125</v>
      </c>
      <c r="M1001" s="7">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heetViews>
  <sheetFormatPr defaultRowHeight="14.5" x14ac:dyDescent="0.35"/>
  <cols>
    <col min="1" max="1" width="15.81640625" bestFit="1" customWidth="1"/>
    <col min="2" max="2" width="22.1796875" bestFit="1" customWidth="1"/>
    <col min="3" max="3" width="37.6328125" customWidth="1"/>
    <col min="4" max="4" width="17.81640625" bestFit="1" customWidth="1"/>
    <col min="5" max="5" width="25.453125" bestFit="1" customWidth="1"/>
    <col min="6" max="6" width="19.1796875" bestFit="1" customWidth="1"/>
    <col min="7" max="7" width="14.1796875" bestFit="1" customWidth="1"/>
    <col min="8" max="8" width="11.08984375" customWidth="1"/>
    <col min="9" max="9" width="11.08984375" bestFit="1" customWidth="1"/>
  </cols>
  <sheetData>
    <row r="1" spans="1:9" s="3" customFormat="1" x14ac:dyDescent="0.35">
      <c r="A1" s="4" t="s">
        <v>3</v>
      </c>
      <c r="B1" s="4" t="s">
        <v>4</v>
      </c>
      <c r="C1" s="4" t="s">
        <v>2</v>
      </c>
      <c r="D1" s="4" t="s">
        <v>317</v>
      </c>
      <c r="E1" s="4" t="s">
        <v>5</v>
      </c>
      <c r="F1" s="4" t="s">
        <v>6</v>
      </c>
      <c r="G1" s="4" t="s">
        <v>7</v>
      </c>
      <c r="H1" s="4" t="s">
        <v>8</v>
      </c>
      <c r="I1" s="4"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9" sqref="E9"/>
    </sheetView>
  </sheetViews>
  <sheetFormatPr defaultColWidth="13.08984375" defaultRowHeight="14.5" x14ac:dyDescent="0.35"/>
  <cols>
    <col min="3" max="3" width="11.36328125" customWidth="1"/>
    <col min="4" max="4" width="7.453125" customWidth="1"/>
    <col min="5" max="5" width="11.36328125" customWidth="1"/>
    <col min="6" max="6" width="14.1796875" customWidth="1"/>
    <col min="7" max="7" width="11.54296875" customWidth="1"/>
  </cols>
  <sheetData>
    <row r="1" spans="1:7" s="3" customFormat="1" x14ac:dyDescent="0.35">
      <c r="A1" s="3" t="s">
        <v>11</v>
      </c>
      <c r="B1" s="3" t="s">
        <v>9</v>
      </c>
      <c r="C1" s="3" t="s">
        <v>10</v>
      </c>
      <c r="D1" s="3" t="s">
        <v>12</v>
      </c>
      <c r="E1" s="3" t="s">
        <v>13</v>
      </c>
      <c r="F1" s="3" t="s">
        <v>17</v>
      </c>
      <c r="G1" s="3"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Nidhi Rajput</cp:lastModifiedBy>
  <cp:revision/>
  <dcterms:created xsi:type="dcterms:W3CDTF">2022-11-26T09:51:45Z</dcterms:created>
  <dcterms:modified xsi:type="dcterms:W3CDTF">2025-10-23T05:27:43Z</dcterms:modified>
  <cp:category/>
  <cp:contentStatus/>
</cp:coreProperties>
</file>